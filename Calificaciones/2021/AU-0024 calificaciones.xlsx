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filterPrivacy="1" defaultThemeVersion="124226"/>
  <xr:revisionPtr revIDLastSave="0" documentId="13_ncr:1_{79D4CF33-D420-4EA8-BC23-34C7E460C011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Nota final" sheetId="2" r:id="rId1"/>
    <sheet name="Notas generales" sheetId="1" r:id="rId2"/>
  </sheets>
  <calcPr calcId="191029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" i="1"/>
  <c r="M26" i="1"/>
</calcChain>
</file>

<file path=xl/sharedStrings.xml><?xml version="1.0" encoding="utf-8"?>
<sst xmlns="http://schemas.openxmlformats.org/spreadsheetml/2006/main" count="124" uniqueCount="102">
  <si>
    <t>Parcial 1</t>
  </si>
  <si>
    <t>Parcial 2</t>
  </si>
  <si>
    <t>Parcial 3</t>
  </si>
  <si>
    <t>Calificación</t>
  </si>
  <si>
    <t>Nota reportada</t>
  </si>
  <si>
    <t>Investigación cualitativa</t>
  </si>
  <si>
    <t>Nombre</t>
  </si>
  <si>
    <t>Excel</t>
  </si>
  <si>
    <t>SPSS</t>
  </si>
  <si>
    <t>Cuali I</t>
  </si>
  <si>
    <t>Cuali II</t>
  </si>
  <si>
    <t>Cuali III</t>
  </si>
  <si>
    <t>Id</t>
  </si>
  <si>
    <t>Grupo</t>
  </si>
  <si>
    <t>Nicole Ramírez Valverde</t>
  </si>
  <si>
    <t>Paula Campos Solano</t>
  </si>
  <si>
    <t>Nancy López</t>
  </si>
  <si>
    <t>Raquel Hidalgo</t>
  </si>
  <si>
    <t>Ailyn Chacón</t>
  </si>
  <si>
    <t>Elizabeth Jiménez</t>
  </si>
  <si>
    <t>Kimberly Esquivel Gutiérrez</t>
  </si>
  <si>
    <t>Tania Chinchilla Vargas</t>
  </si>
  <si>
    <t>Pamela Bayley Blake</t>
  </si>
  <si>
    <t>Mariana Quesada Jaikel</t>
  </si>
  <si>
    <t>Tannia Morales Cordero</t>
  </si>
  <si>
    <t>Karen Zamora Álvarez</t>
  </si>
  <si>
    <t>Jaiting Brenes Chaves</t>
  </si>
  <si>
    <t>Cristel Serrano Quirós</t>
  </si>
  <si>
    <t>Angelly Sánchez Rodríguez</t>
  </si>
  <si>
    <t>Marilisa Guillén Cambronero</t>
  </si>
  <si>
    <t>Diego Muñoz Vargas</t>
  </si>
  <si>
    <t>Jerelyn Jiménez Robles</t>
  </si>
  <si>
    <t>Meylin Hidalgo Salazar</t>
  </si>
  <si>
    <t>Raquel Fabiola Romero Solano</t>
  </si>
  <si>
    <t>Keylin Navarro Obando</t>
  </si>
  <si>
    <t>Jose Daniel Salas Alfaro</t>
  </si>
  <si>
    <t>Daniela Rodríguez Barboza</t>
  </si>
  <si>
    <t>Maria Fernanda Murillo</t>
  </si>
  <si>
    <t xml:space="preserve">LISTA ESTUDIANTES </t>
  </si>
  <si>
    <t>NOMBRE DEL DOCENTE:</t>
  </si>
  <si>
    <t xml:space="preserve">CARRERA:  </t>
  </si>
  <si>
    <t>CICLO LECTIVO:</t>
  </si>
  <si>
    <t xml:space="preserve"> 1-2021</t>
  </si>
  <si>
    <t>CURSO SIGLA:</t>
  </si>
  <si>
    <t>GRUPO:</t>
  </si>
  <si>
    <t xml:space="preserve">NOMBRE DEL CURSO:  </t>
  </si>
  <si>
    <t>NOMBRE</t>
  </si>
  <si>
    <t># CARNÉ</t>
  </si>
  <si>
    <t>NOTA</t>
  </si>
  <si>
    <t>Licenciatura en Audiología</t>
  </si>
  <si>
    <t>AU-0024</t>
  </si>
  <si>
    <t>Investigación en Audiología</t>
  </si>
  <si>
    <t>B47770</t>
  </si>
  <si>
    <t>B53681</t>
  </si>
  <si>
    <t>B64919</t>
  </si>
  <si>
    <t>B65775</t>
  </si>
  <si>
    <t>B71575</t>
  </si>
  <si>
    <t>B73942</t>
  </si>
  <si>
    <t>B75302</t>
  </si>
  <si>
    <t>B78928</t>
  </si>
  <si>
    <t>B81044</t>
  </si>
  <si>
    <t>B81253</t>
  </si>
  <si>
    <t>B81985</t>
  </si>
  <si>
    <t>B82233</t>
  </si>
  <si>
    <t>B82791</t>
  </si>
  <si>
    <t>B83616</t>
  </si>
  <si>
    <t>B83914</t>
  </si>
  <si>
    <t>B83916</t>
  </si>
  <si>
    <t>B84358</t>
  </si>
  <si>
    <t>B85354</t>
  </si>
  <si>
    <t>B85608</t>
  </si>
  <si>
    <t>B86200</t>
  </si>
  <si>
    <t>B87037</t>
  </si>
  <si>
    <t>B87119</t>
  </si>
  <si>
    <t>B87360</t>
  </si>
  <si>
    <t>B87532</t>
  </si>
  <si>
    <t xml:space="preserve">ZAMORA ALVAREZ KAREN PILAR  </t>
  </si>
  <si>
    <t xml:space="preserve">JIMENEZ ROBLES JERELYN MASSIEL  </t>
  </si>
  <si>
    <t xml:space="preserve">MURILLO ARIAS MARIA FERNANDA  </t>
  </si>
  <si>
    <t xml:space="preserve">RAMIREZ VALVERDE NICOLE DAYANA  </t>
  </si>
  <si>
    <t xml:space="preserve">CAMPOS SOLANO PAULA  </t>
  </si>
  <si>
    <t xml:space="preserve">JIMENEZ GARBANZO ELIZABETH YADIRA  </t>
  </si>
  <si>
    <t xml:space="preserve">MUÑOZ VARGAS DIEGO ALEJANDRO  </t>
  </si>
  <si>
    <t xml:space="preserve">RODRIGUEZ BARBOZA DANIELA  </t>
  </si>
  <si>
    <t xml:space="preserve">BAYLEY BLAKE PAMELA ODETH  </t>
  </si>
  <si>
    <t xml:space="preserve">BRENES CHAVES JAITING VIVIANA  </t>
  </si>
  <si>
    <t xml:space="preserve">CHACON ARIAS AILYN YILANA  </t>
  </si>
  <si>
    <t xml:space="preserve">CHINCHILLA VARGAS TANIA CATALINA  </t>
  </si>
  <si>
    <t xml:space="preserve">ESQUIVEL GUTIERREZ KIMBERLY VANESSA  </t>
  </si>
  <si>
    <t xml:space="preserve">GUILLEN CAMBRONERO MARILISA  </t>
  </si>
  <si>
    <t xml:space="preserve">HIDALGO ROJAS RAQUEL ANDREA  </t>
  </si>
  <si>
    <t xml:space="preserve">HIDALGO SALAZAR MEYLIN DAYANA  </t>
  </si>
  <si>
    <t xml:space="preserve">LOPEZ BOLAÑOS NANCY  </t>
  </si>
  <si>
    <t xml:space="preserve">MORALES CORDERO TANNIA DEL CARMEN  </t>
  </si>
  <si>
    <t xml:space="preserve">NAVARRO OBANDO KEYLIN YULISSA  </t>
  </si>
  <si>
    <t xml:space="preserve">QUESADA JAIKEL MARIANA  </t>
  </si>
  <si>
    <t xml:space="preserve">ROMERO SOLANO RAQUEL FABIOLA  </t>
  </si>
  <si>
    <t xml:space="preserve">SALAS ALFARO JOSE DANIEL  </t>
  </si>
  <si>
    <t xml:space="preserve">SANCHEZ RODRIGUEZ ANGELLY DARIANA  </t>
  </si>
  <si>
    <t xml:space="preserve">SERRANO QUIROS CRISTEL MARIA  </t>
  </si>
  <si>
    <t>7.0</t>
  </si>
  <si>
    <t>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</si>
</sst>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thin">
        <color indexed="64"/>
      </top>
      <bottom/>
      <diagonal/>
    </border>
    <border>
      <left/>
      <right style="medium">
        <color rgb="FFCCCCCC"/>
      </right>
      <top/>
      <bottom/>
      <diagonal/>
    </border>
    <border>
      <left/>
      <right style="medium">
        <color rgb="FFCCCCCC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Protection="1">
      <protection locked="0"/>
    </xf>
    <xf numFmtId="0" fontId="1" fillId="0" borderId="1" xfId="0" applyFont="1" applyBorder="1" applyProtection="1">
      <protection locked="0"/>
    </xf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" fillId="0" borderId="0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0" xfId="0" applyFont="1" applyBorder="1" applyProtection="1">
      <protection locked="0"/>
    </xf>
    <xf numFmtId="0" fontId="2" fillId="0" borderId="8" xfId="0" applyFont="1" applyBorder="1" applyAlignment="1">
      <alignment wrapText="1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/>
    </xf>
    <xf numFmtId="0" fontId="1" fillId="0" borderId="0" xfId="0" applyFont="1" applyFill="1" applyAlignment="1" applyProtection="1">
      <alignment horizontal="center"/>
      <protection locked="0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wrapText="1"/>
    </xf>
    <xf numFmtId="0" fontId="4" fillId="0" borderId="9" xfId="0" applyFont="1" applyBorder="1" applyAlignment="1">
      <alignment horizontal="left" wrapText="1"/>
    </xf>
    <xf numFmtId="0" fontId="5" fillId="0" borderId="0" xfId="0" applyFont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5" fillId="0" borderId="12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0" fillId="0" borderId="0" xfId="0" applyProtection="1">
      <protection locked="0"/>
    </xf>
    <xf numFmtId="0" fontId="5" fillId="0" borderId="10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BCE89-C74A-436E-B835-61DCA3AEB61A}">
  <dimension ref="B1:F33"/>
  <sheetViews>
    <sheetView tabSelected="1" workbookViewId="0">
      <selection activeCell="K9" sqref="K9"/>
    </sheetView>
  </sheetViews>
  <sheetFormatPr baseColWidth="10" defaultRowHeight="15" x14ac:dyDescent="0.2"/>
  <cols>
    <col min="1" max="1" width="2.7109375" style="29" customWidth="1"/>
    <col min="2" max="2" width="4.140625" style="29" customWidth="1"/>
    <col min="3" max="3" width="31.85546875" style="29" bestFit="1" customWidth="1"/>
    <col min="4" max="4" width="20.28515625" style="29" customWidth="1"/>
    <col min="5" max="5" width="18.140625" style="29" customWidth="1"/>
    <col min="6" max="6" width="11.140625" style="29" customWidth="1"/>
    <col min="7" max="7" width="2.5703125" style="29" customWidth="1"/>
    <col min="8" max="252" width="11.42578125" style="29"/>
    <col min="253" max="253" width="2.7109375" style="29" customWidth="1"/>
    <col min="254" max="254" width="4.140625" style="29" customWidth="1"/>
    <col min="255" max="255" width="31.85546875" style="29" bestFit="1" customWidth="1"/>
    <col min="256" max="256" width="20.28515625" style="29" customWidth="1"/>
    <col min="257" max="257" width="18.140625" style="29" customWidth="1"/>
    <col min="258" max="258" width="11.140625" style="29" customWidth="1"/>
    <col min="259" max="259" width="2.5703125" style="29" customWidth="1"/>
    <col min="260" max="508" width="11.42578125" style="29"/>
    <col min="509" max="509" width="2.7109375" style="29" customWidth="1"/>
    <col min="510" max="510" width="4.140625" style="29" customWidth="1"/>
    <col min="511" max="511" width="31.85546875" style="29" bestFit="1" customWidth="1"/>
    <col min="512" max="512" width="20.28515625" style="29" customWidth="1"/>
    <col min="513" max="513" width="18.140625" style="29" customWidth="1"/>
    <col min="514" max="514" width="11.140625" style="29" customWidth="1"/>
    <col min="515" max="515" width="2.5703125" style="29" customWidth="1"/>
    <col min="516" max="764" width="11.42578125" style="29"/>
    <col min="765" max="765" width="2.7109375" style="29" customWidth="1"/>
    <col min="766" max="766" width="4.140625" style="29" customWidth="1"/>
    <col min="767" max="767" width="31.85546875" style="29" bestFit="1" customWidth="1"/>
    <col min="768" max="768" width="20.28515625" style="29" customWidth="1"/>
    <col min="769" max="769" width="18.140625" style="29" customWidth="1"/>
    <col min="770" max="770" width="11.140625" style="29" customWidth="1"/>
    <col min="771" max="771" width="2.5703125" style="29" customWidth="1"/>
    <col min="772" max="1020" width="11.42578125" style="29"/>
    <col min="1021" max="1021" width="2.7109375" style="29" customWidth="1"/>
    <col min="1022" max="1022" width="4.140625" style="29" customWidth="1"/>
    <col min="1023" max="1023" width="31.85546875" style="29" bestFit="1" customWidth="1"/>
    <col min="1024" max="1024" width="20.28515625" style="29" customWidth="1"/>
    <col min="1025" max="1025" width="18.140625" style="29" customWidth="1"/>
    <col min="1026" max="1026" width="11.140625" style="29" customWidth="1"/>
    <col min="1027" max="1027" width="2.5703125" style="29" customWidth="1"/>
    <col min="1028" max="1276" width="11.42578125" style="29"/>
    <col min="1277" max="1277" width="2.7109375" style="29" customWidth="1"/>
    <col min="1278" max="1278" width="4.140625" style="29" customWidth="1"/>
    <col min="1279" max="1279" width="31.85546875" style="29" bestFit="1" customWidth="1"/>
    <col min="1280" max="1280" width="20.28515625" style="29" customWidth="1"/>
    <col min="1281" max="1281" width="18.140625" style="29" customWidth="1"/>
    <col min="1282" max="1282" width="11.140625" style="29" customWidth="1"/>
    <col min="1283" max="1283" width="2.5703125" style="29" customWidth="1"/>
    <col min="1284" max="1532" width="11.42578125" style="29"/>
    <col min="1533" max="1533" width="2.7109375" style="29" customWidth="1"/>
    <col min="1534" max="1534" width="4.140625" style="29" customWidth="1"/>
    <col min="1535" max="1535" width="31.85546875" style="29" bestFit="1" customWidth="1"/>
    <col min="1536" max="1536" width="20.28515625" style="29" customWidth="1"/>
    <col min="1537" max="1537" width="18.140625" style="29" customWidth="1"/>
    <col min="1538" max="1538" width="11.140625" style="29" customWidth="1"/>
    <col min="1539" max="1539" width="2.5703125" style="29" customWidth="1"/>
    <col min="1540" max="1788" width="11.42578125" style="29"/>
    <col min="1789" max="1789" width="2.7109375" style="29" customWidth="1"/>
    <col min="1790" max="1790" width="4.140625" style="29" customWidth="1"/>
    <col min="1791" max="1791" width="31.85546875" style="29" bestFit="1" customWidth="1"/>
    <col min="1792" max="1792" width="20.28515625" style="29" customWidth="1"/>
    <col min="1793" max="1793" width="18.140625" style="29" customWidth="1"/>
    <col min="1794" max="1794" width="11.140625" style="29" customWidth="1"/>
    <col min="1795" max="1795" width="2.5703125" style="29" customWidth="1"/>
    <col min="1796" max="2044" width="11.42578125" style="29"/>
    <col min="2045" max="2045" width="2.7109375" style="29" customWidth="1"/>
    <col min="2046" max="2046" width="4.140625" style="29" customWidth="1"/>
    <col min="2047" max="2047" width="31.85546875" style="29" bestFit="1" customWidth="1"/>
    <col min="2048" max="2048" width="20.28515625" style="29" customWidth="1"/>
    <col min="2049" max="2049" width="18.140625" style="29" customWidth="1"/>
    <col min="2050" max="2050" width="11.140625" style="29" customWidth="1"/>
    <col min="2051" max="2051" width="2.5703125" style="29" customWidth="1"/>
    <col min="2052" max="2300" width="11.42578125" style="29"/>
    <col min="2301" max="2301" width="2.7109375" style="29" customWidth="1"/>
    <col min="2302" max="2302" width="4.140625" style="29" customWidth="1"/>
    <col min="2303" max="2303" width="31.85546875" style="29" bestFit="1" customWidth="1"/>
    <col min="2304" max="2304" width="20.28515625" style="29" customWidth="1"/>
    <col min="2305" max="2305" width="18.140625" style="29" customWidth="1"/>
    <col min="2306" max="2306" width="11.140625" style="29" customWidth="1"/>
    <col min="2307" max="2307" width="2.5703125" style="29" customWidth="1"/>
    <col min="2308" max="2556" width="11.42578125" style="29"/>
    <col min="2557" max="2557" width="2.7109375" style="29" customWidth="1"/>
    <col min="2558" max="2558" width="4.140625" style="29" customWidth="1"/>
    <col min="2559" max="2559" width="31.85546875" style="29" bestFit="1" customWidth="1"/>
    <col min="2560" max="2560" width="20.28515625" style="29" customWidth="1"/>
    <col min="2561" max="2561" width="18.140625" style="29" customWidth="1"/>
    <col min="2562" max="2562" width="11.140625" style="29" customWidth="1"/>
    <col min="2563" max="2563" width="2.5703125" style="29" customWidth="1"/>
    <col min="2564" max="2812" width="11.42578125" style="29"/>
    <col min="2813" max="2813" width="2.7109375" style="29" customWidth="1"/>
    <col min="2814" max="2814" width="4.140625" style="29" customWidth="1"/>
    <col min="2815" max="2815" width="31.85546875" style="29" bestFit="1" customWidth="1"/>
    <col min="2816" max="2816" width="20.28515625" style="29" customWidth="1"/>
    <col min="2817" max="2817" width="18.140625" style="29" customWidth="1"/>
    <col min="2818" max="2818" width="11.140625" style="29" customWidth="1"/>
    <col min="2819" max="2819" width="2.5703125" style="29" customWidth="1"/>
    <col min="2820" max="3068" width="11.42578125" style="29"/>
    <col min="3069" max="3069" width="2.7109375" style="29" customWidth="1"/>
    <col min="3070" max="3070" width="4.140625" style="29" customWidth="1"/>
    <col min="3071" max="3071" width="31.85546875" style="29" bestFit="1" customWidth="1"/>
    <col min="3072" max="3072" width="20.28515625" style="29" customWidth="1"/>
    <col min="3073" max="3073" width="18.140625" style="29" customWidth="1"/>
    <col min="3074" max="3074" width="11.140625" style="29" customWidth="1"/>
    <col min="3075" max="3075" width="2.5703125" style="29" customWidth="1"/>
    <col min="3076" max="3324" width="11.42578125" style="29"/>
    <col min="3325" max="3325" width="2.7109375" style="29" customWidth="1"/>
    <col min="3326" max="3326" width="4.140625" style="29" customWidth="1"/>
    <col min="3327" max="3327" width="31.85546875" style="29" bestFit="1" customWidth="1"/>
    <col min="3328" max="3328" width="20.28515625" style="29" customWidth="1"/>
    <col min="3329" max="3329" width="18.140625" style="29" customWidth="1"/>
    <col min="3330" max="3330" width="11.140625" style="29" customWidth="1"/>
    <col min="3331" max="3331" width="2.5703125" style="29" customWidth="1"/>
    <col min="3332" max="3580" width="11.42578125" style="29"/>
    <col min="3581" max="3581" width="2.7109375" style="29" customWidth="1"/>
    <col min="3582" max="3582" width="4.140625" style="29" customWidth="1"/>
    <col min="3583" max="3583" width="31.85546875" style="29" bestFit="1" customWidth="1"/>
    <col min="3584" max="3584" width="20.28515625" style="29" customWidth="1"/>
    <col min="3585" max="3585" width="18.140625" style="29" customWidth="1"/>
    <col min="3586" max="3586" width="11.140625" style="29" customWidth="1"/>
    <col min="3587" max="3587" width="2.5703125" style="29" customWidth="1"/>
    <col min="3588" max="3836" width="11.42578125" style="29"/>
    <col min="3837" max="3837" width="2.7109375" style="29" customWidth="1"/>
    <col min="3838" max="3838" width="4.140625" style="29" customWidth="1"/>
    <col min="3839" max="3839" width="31.85546875" style="29" bestFit="1" customWidth="1"/>
    <col min="3840" max="3840" width="20.28515625" style="29" customWidth="1"/>
    <col min="3841" max="3841" width="18.140625" style="29" customWidth="1"/>
    <col min="3842" max="3842" width="11.140625" style="29" customWidth="1"/>
    <col min="3843" max="3843" width="2.5703125" style="29" customWidth="1"/>
    <col min="3844" max="4092" width="11.42578125" style="29"/>
    <col min="4093" max="4093" width="2.7109375" style="29" customWidth="1"/>
    <col min="4094" max="4094" width="4.140625" style="29" customWidth="1"/>
    <col min="4095" max="4095" width="31.85546875" style="29" bestFit="1" customWidth="1"/>
    <col min="4096" max="4096" width="20.28515625" style="29" customWidth="1"/>
    <col min="4097" max="4097" width="18.140625" style="29" customWidth="1"/>
    <col min="4098" max="4098" width="11.140625" style="29" customWidth="1"/>
    <col min="4099" max="4099" width="2.5703125" style="29" customWidth="1"/>
    <col min="4100" max="4348" width="11.42578125" style="29"/>
    <col min="4349" max="4349" width="2.7109375" style="29" customWidth="1"/>
    <col min="4350" max="4350" width="4.140625" style="29" customWidth="1"/>
    <col min="4351" max="4351" width="31.85546875" style="29" bestFit="1" customWidth="1"/>
    <col min="4352" max="4352" width="20.28515625" style="29" customWidth="1"/>
    <col min="4353" max="4353" width="18.140625" style="29" customWidth="1"/>
    <col min="4354" max="4354" width="11.140625" style="29" customWidth="1"/>
    <col min="4355" max="4355" width="2.5703125" style="29" customWidth="1"/>
    <col min="4356" max="4604" width="11.42578125" style="29"/>
    <col min="4605" max="4605" width="2.7109375" style="29" customWidth="1"/>
    <col min="4606" max="4606" width="4.140625" style="29" customWidth="1"/>
    <col min="4607" max="4607" width="31.85546875" style="29" bestFit="1" customWidth="1"/>
    <col min="4608" max="4608" width="20.28515625" style="29" customWidth="1"/>
    <col min="4609" max="4609" width="18.140625" style="29" customWidth="1"/>
    <col min="4610" max="4610" width="11.140625" style="29" customWidth="1"/>
    <col min="4611" max="4611" width="2.5703125" style="29" customWidth="1"/>
    <col min="4612" max="4860" width="11.42578125" style="29"/>
    <col min="4861" max="4861" width="2.7109375" style="29" customWidth="1"/>
    <col min="4862" max="4862" width="4.140625" style="29" customWidth="1"/>
    <col min="4863" max="4863" width="31.85546875" style="29" bestFit="1" customWidth="1"/>
    <col min="4864" max="4864" width="20.28515625" style="29" customWidth="1"/>
    <col min="4865" max="4865" width="18.140625" style="29" customWidth="1"/>
    <col min="4866" max="4866" width="11.140625" style="29" customWidth="1"/>
    <col min="4867" max="4867" width="2.5703125" style="29" customWidth="1"/>
    <col min="4868" max="5116" width="11.42578125" style="29"/>
    <col min="5117" max="5117" width="2.7109375" style="29" customWidth="1"/>
    <col min="5118" max="5118" width="4.140625" style="29" customWidth="1"/>
    <col min="5119" max="5119" width="31.85546875" style="29" bestFit="1" customWidth="1"/>
    <col min="5120" max="5120" width="20.28515625" style="29" customWidth="1"/>
    <col min="5121" max="5121" width="18.140625" style="29" customWidth="1"/>
    <col min="5122" max="5122" width="11.140625" style="29" customWidth="1"/>
    <col min="5123" max="5123" width="2.5703125" style="29" customWidth="1"/>
    <col min="5124" max="5372" width="11.42578125" style="29"/>
    <col min="5373" max="5373" width="2.7109375" style="29" customWidth="1"/>
    <col min="5374" max="5374" width="4.140625" style="29" customWidth="1"/>
    <col min="5375" max="5375" width="31.85546875" style="29" bestFit="1" customWidth="1"/>
    <col min="5376" max="5376" width="20.28515625" style="29" customWidth="1"/>
    <col min="5377" max="5377" width="18.140625" style="29" customWidth="1"/>
    <col min="5378" max="5378" width="11.140625" style="29" customWidth="1"/>
    <col min="5379" max="5379" width="2.5703125" style="29" customWidth="1"/>
    <col min="5380" max="5628" width="11.42578125" style="29"/>
    <col min="5629" max="5629" width="2.7109375" style="29" customWidth="1"/>
    <col min="5630" max="5630" width="4.140625" style="29" customWidth="1"/>
    <col min="5631" max="5631" width="31.85546875" style="29" bestFit="1" customWidth="1"/>
    <col min="5632" max="5632" width="20.28515625" style="29" customWidth="1"/>
    <col min="5633" max="5633" width="18.140625" style="29" customWidth="1"/>
    <col min="5634" max="5634" width="11.140625" style="29" customWidth="1"/>
    <col min="5635" max="5635" width="2.5703125" style="29" customWidth="1"/>
    <col min="5636" max="5884" width="11.42578125" style="29"/>
    <col min="5885" max="5885" width="2.7109375" style="29" customWidth="1"/>
    <col min="5886" max="5886" width="4.140625" style="29" customWidth="1"/>
    <col min="5887" max="5887" width="31.85546875" style="29" bestFit="1" customWidth="1"/>
    <col min="5888" max="5888" width="20.28515625" style="29" customWidth="1"/>
    <col min="5889" max="5889" width="18.140625" style="29" customWidth="1"/>
    <col min="5890" max="5890" width="11.140625" style="29" customWidth="1"/>
    <col min="5891" max="5891" width="2.5703125" style="29" customWidth="1"/>
    <col min="5892" max="6140" width="11.42578125" style="29"/>
    <col min="6141" max="6141" width="2.7109375" style="29" customWidth="1"/>
    <col min="6142" max="6142" width="4.140625" style="29" customWidth="1"/>
    <col min="6143" max="6143" width="31.85546875" style="29" bestFit="1" customWidth="1"/>
    <col min="6144" max="6144" width="20.28515625" style="29" customWidth="1"/>
    <col min="6145" max="6145" width="18.140625" style="29" customWidth="1"/>
    <col min="6146" max="6146" width="11.140625" style="29" customWidth="1"/>
    <col min="6147" max="6147" width="2.5703125" style="29" customWidth="1"/>
    <col min="6148" max="6396" width="11.42578125" style="29"/>
    <col min="6397" max="6397" width="2.7109375" style="29" customWidth="1"/>
    <col min="6398" max="6398" width="4.140625" style="29" customWidth="1"/>
    <col min="6399" max="6399" width="31.85546875" style="29" bestFit="1" customWidth="1"/>
    <col min="6400" max="6400" width="20.28515625" style="29" customWidth="1"/>
    <col min="6401" max="6401" width="18.140625" style="29" customWidth="1"/>
    <col min="6402" max="6402" width="11.140625" style="29" customWidth="1"/>
    <col min="6403" max="6403" width="2.5703125" style="29" customWidth="1"/>
    <col min="6404" max="6652" width="11.42578125" style="29"/>
    <col min="6653" max="6653" width="2.7109375" style="29" customWidth="1"/>
    <col min="6654" max="6654" width="4.140625" style="29" customWidth="1"/>
    <col min="6655" max="6655" width="31.85546875" style="29" bestFit="1" customWidth="1"/>
    <col min="6656" max="6656" width="20.28515625" style="29" customWidth="1"/>
    <col min="6657" max="6657" width="18.140625" style="29" customWidth="1"/>
    <col min="6658" max="6658" width="11.140625" style="29" customWidth="1"/>
    <col min="6659" max="6659" width="2.5703125" style="29" customWidth="1"/>
    <col min="6660" max="6908" width="11.42578125" style="29"/>
    <col min="6909" max="6909" width="2.7109375" style="29" customWidth="1"/>
    <col min="6910" max="6910" width="4.140625" style="29" customWidth="1"/>
    <col min="6911" max="6911" width="31.85546875" style="29" bestFit="1" customWidth="1"/>
    <col min="6912" max="6912" width="20.28515625" style="29" customWidth="1"/>
    <col min="6913" max="6913" width="18.140625" style="29" customWidth="1"/>
    <col min="6914" max="6914" width="11.140625" style="29" customWidth="1"/>
    <col min="6915" max="6915" width="2.5703125" style="29" customWidth="1"/>
    <col min="6916" max="7164" width="11.42578125" style="29"/>
    <col min="7165" max="7165" width="2.7109375" style="29" customWidth="1"/>
    <col min="7166" max="7166" width="4.140625" style="29" customWidth="1"/>
    <col min="7167" max="7167" width="31.85546875" style="29" bestFit="1" customWidth="1"/>
    <col min="7168" max="7168" width="20.28515625" style="29" customWidth="1"/>
    <col min="7169" max="7169" width="18.140625" style="29" customWidth="1"/>
    <col min="7170" max="7170" width="11.140625" style="29" customWidth="1"/>
    <col min="7171" max="7171" width="2.5703125" style="29" customWidth="1"/>
    <col min="7172" max="7420" width="11.42578125" style="29"/>
    <col min="7421" max="7421" width="2.7109375" style="29" customWidth="1"/>
    <col min="7422" max="7422" width="4.140625" style="29" customWidth="1"/>
    <col min="7423" max="7423" width="31.85546875" style="29" bestFit="1" customWidth="1"/>
    <col min="7424" max="7424" width="20.28515625" style="29" customWidth="1"/>
    <col min="7425" max="7425" width="18.140625" style="29" customWidth="1"/>
    <col min="7426" max="7426" width="11.140625" style="29" customWidth="1"/>
    <col min="7427" max="7427" width="2.5703125" style="29" customWidth="1"/>
    <col min="7428" max="7676" width="11.42578125" style="29"/>
    <col min="7677" max="7677" width="2.7109375" style="29" customWidth="1"/>
    <col min="7678" max="7678" width="4.140625" style="29" customWidth="1"/>
    <col min="7679" max="7679" width="31.85546875" style="29" bestFit="1" customWidth="1"/>
    <col min="7680" max="7680" width="20.28515625" style="29" customWidth="1"/>
    <col min="7681" max="7681" width="18.140625" style="29" customWidth="1"/>
    <col min="7682" max="7682" width="11.140625" style="29" customWidth="1"/>
    <col min="7683" max="7683" width="2.5703125" style="29" customWidth="1"/>
    <col min="7684" max="7932" width="11.42578125" style="29"/>
    <col min="7933" max="7933" width="2.7109375" style="29" customWidth="1"/>
    <col min="7934" max="7934" width="4.140625" style="29" customWidth="1"/>
    <col min="7935" max="7935" width="31.85546875" style="29" bestFit="1" customWidth="1"/>
    <col min="7936" max="7936" width="20.28515625" style="29" customWidth="1"/>
    <col min="7937" max="7937" width="18.140625" style="29" customWidth="1"/>
    <col min="7938" max="7938" width="11.140625" style="29" customWidth="1"/>
    <col min="7939" max="7939" width="2.5703125" style="29" customWidth="1"/>
    <col min="7940" max="8188" width="11.42578125" style="29"/>
    <col min="8189" max="8189" width="2.7109375" style="29" customWidth="1"/>
    <col min="8190" max="8190" width="4.140625" style="29" customWidth="1"/>
    <col min="8191" max="8191" width="31.85546875" style="29" bestFit="1" customWidth="1"/>
    <col min="8192" max="8192" width="20.28515625" style="29" customWidth="1"/>
    <col min="8193" max="8193" width="18.140625" style="29" customWidth="1"/>
    <col min="8194" max="8194" width="11.140625" style="29" customWidth="1"/>
    <col min="8195" max="8195" width="2.5703125" style="29" customWidth="1"/>
    <col min="8196" max="8444" width="11.42578125" style="29"/>
    <col min="8445" max="8445" width="2.7109375" style="29" customWidth="1"/>
    <col min="8446" max="8446" width="4.140625" style="29" customWidth="1"/>
    <col min="8447" max="8447" width="31.85546875" style="29" bestFit="1" customWidth="1"/>
    <col min="8448" max="8448" width="20.28515625" style="29" customWidth="1"/>
    <col min="8449" max="8449" width="18.140625" style="29" customWidth="1"/>
    <col min="8450" max="8450" width="11.140625" style="29" customWidth="1"/>
    <col min="8451" max="8451" width="2.5703125" style="29" customWidth="1"/>
    <col min="8452" max="8700" width="11.42578125" style="29"/>
    <col min="8701" max="8701" width="2.7109375" style="29" customWidth="1"/>
    <col min="8702" max="8702" width="4.140625" style="29" customWidth="1"/>
    <col min="8703" max="8703" width="31.85546875" style="29" bestFit="1" customWidth="1"/>
    <col min="8704" max="8704" width="20.28515625" style="29" customWidth="1"/>
    <col min="8705" max="8705" width="18.140625" style="29" customWidth="1"/>
    <col min="8706" max="8706" width="11.140625" style="29" customWidth="1"/>
    <col min="8707" max="8707" width="2.5703125" style="29" customWidth="1"/>
    <col min="8708" max="8956" width="11.42578125" style="29"/>
    <col min="8957" max="8957" width="2.7109375" style="29" customWidth="1"/>
    <col min="8958" max="8958" width="4.140625" style="29" customWidth="1"/>
    <col min="8959" max="8959" width="31.85546875" style="29" bestFit="1" customWidth="1"/>
    <col min="8960" max="8960" width="20.28515625" style="29" customWidth="1"/>
    <col min="8961" max="8961" width="18.140625" style="29" customWidth="1"/>
    <col min="8962" max="8962" width="11.140625" style="29" customWidth="1"/>
    <col min="8963" max="8963" width="2.5703125" style="29" customWidth="1"/>
    <col min="8964" max="9212" width="11.42578125" style="29"/>
    <col min="9213" max="9213" width="2.7109375" style="29" customWidth="1"/>
    <col min="9214" max="9214" width="4.140625" style="29" customWidth="1"/>
    <col min="9215" max="9215" width="31.85546875" style="29" bestFit="1" customWidth="1"/>
    <col min="9216" max="9216" width="20.28515625" style="29" customWidth="1"/>
    <col min="9217" max="9217" width="18.140625" style="29" customWidth="1"/>
    <col min="9218" max="9218" width="11.140625" style="29" customWidth="1"/>
    <col min="9219" max="9219" width="2.5703125" style="29" customWidth="1"/>
    <col min="9220" max="9468" width="11.42578125" style="29"/>
    <col min="9469" max="9469" width="2.7109375" style="29" customWidth="1"/>
    <col min="9470" max="9470" width="4.140625" style="29" customWidth="1"/>
    <col min="9471" max="9471" width="31.85546875" style="29" bestFit="1" customWidth="1"/>
    <col min="9472" max="9472" width="20.28515625" style="29" customWidth="1"/>
    <col min="9473" max="9473" width="18.140625" style="29" customWidth="1"/>
    <col min="9474" max="9474" width="11.140625" style="29" customWidth="1"/>
    <col min="9475" max="9475" width="2.5703125" style="29" customWidth="1"/>
    <col min="9476" max="9724" width="11.42578125" style="29"/>
    <col min="9725" max="9725" width="2.7109375" style="29" customWidth="1"/>
    <col min="9726" max="9726" width="4.140625" style="29" customWidth="1"/>
    <col min="9727" max="9727" width="31.85546875" style="29" bestFit="1" customWidth="1"/>
    <col min="9728" max="9728" width="20.28515625" style="29" customWidth="1"/>
    <col min="9729" max="9729" width="18.140625" style="29" customWidth="1"/>
    <col min="9730" max="9730" width="11.140625" style="29" customWidth="1"/>
    <col min="9731" max="9731" width="2.5703125" style="29" customWidth="1"/>
    <col min="9732" max="9980" width="11.42578125" style="29"/>
    <col min="9981" max="9981" width="2.7109375" style="29" customWidth="1"/>
    <col min="9982" max="9982" width="4.140625" style="29" customWidth="1"/>
    <col min="9983" max="9983" width="31.85546875" style="29" bestFit="1" customWidth="1"/>
    <col min="9984" max="9984" width="20.28515625" style="29" customWidth="1"/>
    <col min="9985" max="9985" width="18.140625" style="29" customWidth="1"/>
    <col min="9986" max="9986" width="11.140625" style="29" customWidth="1"/>
    <col min="9987" max="9987" width="2.5703125" style="29" customWidth="1"/>
    <col min="9988" max="10236" width="11.42578125" style="29"/>
    <col min="10237" max="10237" width="2.7109375" style="29" customWidth="1"/>
    <col min="10238" max="10238" width="4.140625" style="29" customWidth="1"/>
    <col min="10239" max="10239" width="31.85546875" style="29" bestFit="1" customWidth="1"/>
    <col min="10240" max="10240" width="20.28515625" style="29" customWidth="1"/>
    <col min="10241" max="10241" width="18.140625" style="29" customWidth="1"/>
    <col min="10242" max="10242" width="11.140625" style="29" customWidth="1"/>
    <col min="10243" max="10243" width="2.5703125" style="29" customWidth="1"/>
    <col min="10244" max="10492" width="11.42578125" style="29"/>
    <col min="10493" max="10493" width="2.7109375" style="29" customWidth="1"/>
    <col min="10494" max="10494" width="4.140625" style="29" customWidth="1"/>
    <col min="10495" max="10495" width="31.85546875" style="29" bestFit="1" customWidth="1"/>
    <col min="10496" max="10496" width="20.28515625" style="29" customWidth="1"/>
    <col min="10497" max="10497" width="18.140625" style="29" customWidth="1"/>
    <col min="10498" max="10498" width="11.140625" style="29" customWidth="1"/>
    <col min="10499" max="10499" width="2.5703125" style="29" customWidth="1"/>
    <col min="10500" max="10748" width="11.42578125" style="29"/>
    <col min="10749" max="10749" width="2.7109375" style="29" customWidth="1"/>
    <col min="10750" max="10750" width="4.140625" style="29" customWidth="1"/>
    <col min="10751" max="10751" width="31.85546875" style="29" bestFit="1" customWidth="1"/>
    <col min="10752" max="10752" width="20.28515625" style="29" customWidth="1"/>
    <col min="10753" max="10753" width="18.140625" style="29" customWidth="1"/>
    <col min="10754" max="10754" width="11.140625" style="29" customWidth="1"/>
    <col min="10755" max="10755" width="2.5703125" style="29" customWidth="1"/>
    <col min="10756" max="11004" width="11.42578125" style="29"/>
    <col min="11005" max="11005" width="2.7109375" style="29" customWidth="1"/>
    <col min="11006" max="11006" width="4.140625" style="29" customWidth="1"/>
    <col min="11007" max="11007" width="31.85546875" style="29" bestFit="1" customWidth="1"/>
    <col min="11008" max="11008" width="20.28515625" style="29" customWidth="1"/>
    <col min="11009" max="11009" width="18.140625" style="29" customWidth="1"/>
    <col min="11010" max="11010" width="11.140625" style="29" customWidth="1"/>
    <col min="11011" max="11011" width="2.5703125" style="29" customWidth="1"/>
    <col min="11012" max="11260" width="11.42578125" style="29"/>
    <col min="11261" max="11261" width="2.7109375" style="29" customWidth="1"/>
    <col min="11262" max="11262" width="4.140625" style="29" customWidth="1"/>
    <col min="11263" max="11263" width="31.85546875" style="29" bestFit="1" customWidth="1"/>
    <col min="11264" max="11264" width="20.28515625" style="29" customWidth="1"/>
    <col min="11265" max="11265" width="18.140625" style="29" customWidth="1"/>
    <col min="11266" max="11266" width="11.140625" style="29" customWidth="1"/>
    <col min="11267" max="11267" width="2.5703125" style="29" customWidth="1"/>
    <col min="11268" max="11516" width="11.42578125" style="29"/>
    <col min="11517" max="11517" width="2.7109375" style="29" customWidth="1"/>
    <col min="11518" max="11518" width="4.140625" style="29" customWidth="1"/>
    <col min="11519" max="11519" width="31.85546875" style="29" bestFit="1" customWidth="1"/>
    <col min="11520" max="11520" width="20.28515625" style="29" customWidth="1"/>
    <col min="11521" max="11521" width="18.140625" style="29" customWidth="1"/>
    <col min="11522" max="11522" width="11.140625" style="29" customWidth="1"/>
    <col min="11523" max="11523" width="2.5703125" style="29" customWidth="1"/>
    <col min="11524" max="11772" width="11.42578125" style="29"/>
    <col min="11773" max="11773" width="2.7109375" style="29" customWidth="1"/>
    <col min="11774" max="11774" width="4.140625" style="29" customWidth="1"/>
    <col min="11775" max="11775" width="31.85546875" style="29" bestFit="1" customWidth="1"/>
    <col min="11776" max="11776" width="20.28515625" style="29" customWidth="1"/>
    <col min="11777" max="11777" width="18.140625" style="29" customWidth="1"/>
    <col min="11778" max="11778" width="11.140625" style="29" customWidth="1"/>
    <col min="11779" max="11779" width="2.5703125" style="29" customWidth="1"/>
    <col min="11780" max="12028" width="11.42578125" style="29"/>
    <col min="12029" max="12029" width="2.7109375" style="29" customWidth="1"/>
    <col min="12030" max="12030" width="4.140625" style="29" customWidth="1"/>
    <col min="12031" max="12031" width="31.85546875" style="29" bestFit="1" customWidth="1"/>
    <col min="12032" max="12032" width="20.28515625" style="29" customWidth="1"/>
    <col min="12033" max="12033" width="18.140625" style="29" customWidth="1"/>
    <col min="12034" max="12034" width="11.140625" style="29" customWidth="1"/>
    <col min="12035" max="12035" width="2.5703125" style="29" customWidth="1"/>
    <col min="12036" max="12284" width="11.42578125" style="29"/>
    <col min="12285" max="12285" width="2.7109375" style="29" customWidth="1"/>
    <col min="12286" max="12286" width="4.140625" style="29" customWidth="1"/>
    <col min="12287" max="12287" width="31.85546875" style="29" bestFit="1" customWidth="1"/>
    <col min="12288" max="12288" width="20.28515625" style="29" customWidth="1"/>
    <col min="12289" max="12289" width="18.140625" style="29" customWidth="1"/>
    <col min="12290" max="12290" width="11.140625" style="29" customWidth="1"/>
    <col min="12291" max="12291" width="2.5703125" style="29" customWidth="1"/>
    <col min="12292" max="12540" width="11.42578125" style="29"/>
    <col min="12541" max="12541" width="2.7109375" style="29" customWidth="1"/>
    <col min="12542" max="12542" width="4.140625" style="29" customWidth="1"/>
    <col min="12543" max="12543" width="31.85546875" style="29" bestFit="1" customWidth="1"/>
    <col min="12544" max="12544" width="20.28515625" style="29" customWidth="1"/>
    <col min="12545" max="12545" width="18.140625" style="29" customWidth="1"/>
    <col min="12546" max="12546" width="11.140625" style="29" customWidth="1"/>
    <col min="12547" max="12547" width="2.5703125" style="29" customWidth="1"/>
    <col min="12548" max="12796" width="11.42578125" style="29"/>
    <col min="12797" max="12797" width="2.7109375" style="29" customWidth="1"/>
    <col min="12798" max="12798" width="4.140625" style="29" customWidth="1"/>
    <col min="12799" max="12799" width="31.85546875" style="29" bestFit="1" customWidth="1"/>
    <col min="12800" max="12800" width="20.28515625" style="29" customWidth="1"/>
    <col min="12801" max="12801" width="18.140625" style="29" customWidth="1"/>
    <col min="12802" max="12802" width="11.140625" style="29" customWidth="1"/>
    <col min="12803" max="12803" width="2.5703125" style="29" customWidth="1"/>
    <col min="12804" max="13052" width="11.42578125" style="29"/>
    <col min="13053" max="13053" width="2.7109375" style="29" customWidth="1"/>
    <col min="13054" max="13054" width="4.140625" style="29" customWidth="1"/>
    <col min="13055" max="13055" width="31.85546875" style="29" bestFit="1" customWidth="1"/>
    <col min="13056" max="13056" width="20.28515625" style="29" customWidth="1"/>
    <col min="13057" max="13057" width="18.140625" style="29" customWidth="1"/>
    <col min="13058" max="13058" width="11.140625" style="29" customWidth="1"/>
    <col min="13059" max="13059" width="2.5703125" style="29" customWidth="1"/>
    <col min="13060" max="13308" width="11.42578125" style="29"/>
    <col min="13309" max="13309" width="2.7109375" style="29" customWidth="1"/>
    <col min="13310" max="13310" width="4.140625" style="29" customWidth="1"/>
    <col min="13311" max="13311" width="31.85546875" style="29" bestFit="1" customWidth="1"/>
    <col min="13312" max="13312" width="20.28515625" style="29" customWidth="1"/>
    <col min="13313" max="13313" width="18.140625" style="29" customWidth="1"/>
    <col min="13314" max="13314" width="11.140625" style="29" customWidth="1"/>
    <col min="13315" max="13315" width="2.5703125" style="29" customWidth="1"/>
    <col min="13316" max="13564" width="11.42578125" style="29"/>
    <col min="13565" max="13565" width="2.7109375" style="29" customWidth="1"/>
    <col min="13566" max="13566" width="4.140625" style="29" customWidth="1"/>
    <col min="13567" max="13567" width="31.85546875" style="29" bestFit="1" customWidth="1"/>
    <col min="13568" max="13568" width="20.28515625" style="29" customWidth="1"/>
    <col min="13569" max="13569" width="18.140625" style="29" customWidth="1"/>
    <col min="13570" max="13570" width="11.140625" style="29" customWidth="1"/>
    <col min="13571" max="13571" width="2.5703125" style="29" customWidth="1"/>
    <col min="13572" max="13820" width="11.42578125" style="29"/>
    <col min="13821" max="13821" width="2.7109375" style="29" customWidth="1"/>
    <col min="13822" max="13822" width="4.140625" style="29" customWidth="1"/>
    <col min="13823" max="13823" width="31.85546875" style="29" bestFit="1" customWidth="1"/>
    <col min="13824" max="13824" width="20.28515625" style="29" customWidth="1"/>
    <col min="13825" max="13825" width="18.140625" style="29" customWidth="1"/>
    <col min="13826" max="13826" width="11.140625" style="29" customWidth="1"/>
    <col min="13827" max="13827" width="2.5703125" style="29" customWidth="1"/>
    <col min="13828" max="14076" width="11.42578125" style="29"/>
    <col min="14077" max="14077" width="2.7109375" style="29" customWidth="1"/>
    <col min="14078" max="14078" width="4.140625" style="29" customWidth="1"/>
    <col min="14079" max="14079" width="31.85546875" style="29" bestFit="1" customWidth="1"/>
    <col min="14080" max="14080" width="20.28515625" style="29" customWidth="1"/>
    <col min="14081" max="14081" width="18.140625" style="29" customWidth="1"/>
    <col min="14082" max="14082" width="11.140625" style="29" customWidth="1"/>
    <col min="14083" max="14083" width="2.5703125" style="29" customWidth="1"/>
    <col min="14084" max="14332" width="11.42578125" style="29"/>
    <col min="14333" max="14333" width="2.7109375" style="29" customWidth="1"/>
    <col min="14334" max="14334" width="4.140625" style="29" customWidth="1"/>
    <col min="14335" max="14335" width="31.85546875" style="29" bestFit="1" customWidth="1"/>
    <col min="14336" max="14336" width="20.28515625" style="29" customWidth="1"/>
    <col min="14337" max="14337" width="18.140625" style="29" customWidth="1"/>
    <col min="14338" max="14338" width="11.140625" style="29" customWidth="1"/>
    <col min="14339" max="14339" width="2.5703125" style="29" customWidth="1"/>
    <col min="14340" max="14588" width="11.42578125" style="29"/>
    <col min="14589" max="14589" width="2.7109375" style="29" customWidth="1"/>
    <col min="14590" max="14590" width="4.140625" style="29" customWidth="1"/>
    <col min="14591" max="14591" width="31.85546875" style="29" bestFit="1" customWidth="1"/>
    <col min="14592" max="14592" width="20.28515625" style="29" customWidth="1"/>
    <col min="14593" max="14593" width="18.140625" style="29" customWidth="1"/>
    <col min="14594" max="14594" width="11.140625" style="29" customWidth="1"/>
    <col min="14595" max="14595" width="2.5703125" style="29" customWidth="1"/>
    <col min="14596" max="14844" width="11.42578125" style="29"/>
    <col min="14845" max="14845" width="2.7109375" style="29" customWidth="1"/>
    <col min="14846" max="14846" width="4.140625" style="29" customWidth="1"/>
    <col min="14847" max="14847" width="31.85546875" style="29" bestFit="1" customWidth="1"/>
    <col min="14848" max="14848" width="20.28515625" style="29" customWidth="1"/>
    <col min="14849" max="14849" width="18.140625" style="29" customWidth="1"/>
    <col min="14850" max="14850" width="11.140625" style="29" customWidth="1"/>
    <col min="14851" max="14851" width="2.5703125" style="29" customWidth="1"/>
    <col min="14852" max="15100" width="11.42578125" style="29"/>
    <col min="15101" max="15101" width="2.7109375" style="29" customWidth="1"/>
    <col min="15102" max="15102" width="4.140625" style="29" customWidth="1"/>
    <col min="15103" max="15103" width="31.85546875" style="29" bestFit="1" customWidth="1"/>
    <col min="15104" max="15104" width="20.28515625" style="29" customWidth="1"/>
    <col min="15105" max="15105" width="18.140625" style="29" customWidth="1"/>
    <col min="15106" max="15106" width="11.140625" style="29" customWidth="1"/>
    <col min="15107" max="15107" width="2.5703125" style="29" customWidth="1"/>
    <col min="15108" max="15356" width="11.42578125" style="29"/>
    <col min="15357" max="15357" width="2.7109375" style="29" customWidth="1"/>
    <col min="15358" max="15358" width="4.140625" style="29" customWidth="1"/>
    <col min="15359" max="15359" width="31.85546875" style="29" bestFit="1" customWidth="1"/>
    <col min="15360" max="15360" width="20.28515625" style="29" customWidth="1"/>
    <col min="15361" max="15361" width="18.140625" style="29" customWidth="1"/>
    <col min="15362" max="15362" width="11.140625" style="29" customWidth="1"/>
    <col min="15363" max="15363" width="2.5703125" style="29" customWidth="1"/>
    <col min="15364" max="15612" width="11.42578125" style="29"/>
    <col min="15613" max="15613" width="2.7109375" style="29" customWidth="1"/>
    <col min="15614" max="15614" width="4.140625" style="29" customWidth="1"/>
    <col min="15615" max="15615" width="31.85546875" style="29" bestFit="1" customWidth="1"/>
    <col min="15616" max="15616" width="20.28515625" style="29" customWidth="1"/>
    <col min="15617" max="15617" width="18.140625" style="29" customWidth="1"/>
    <col min="15618" max="15618" width="11.140625" style="29" customWidth="1"/>
    <col min="15619" max="15619" width="2.5703125" style="29" customWidth="1"/>
    <col min="15620" max="15868" width="11.42578125" style="29"/>
    <col min="15869" max="15869" width="2.7109375" style="29" customWidth="1"/>
    <col min="15870" max="15870" width="4.140625" style="29" customWidth="1"/>
    <col min="15871" max="15871" width="31.85546875" style="29" bestFit="1" customWidth="1"/>
    <col min="15872" max="15872" width="20.28515625" style="29" customWidth="1"/>
    <col min="15873" max="15873" width="18.140625" style="29" customWidth="1"/>
    <col min="15874" max="15874" width="11.140625" style="29" customWidth="1"/>
    <col min="15875" max="15875" width="2.5703125" style="29" customWidth="1"/>
    <col min="15876" max="16124" width="11.42578125" style="29"/>
    <col min="16125" max="16125" width="2.7109375" style="29" customWidth="1"/>
    <col min="16126" max="16126" width="4.140625" style="29" customWidth="1"/>
    <col min="16127" max="16127" width="31.85546875" style="29" bestFit="1" customWidth="1"/>
    <col min="16128" max="16128" width="20.28515625" style="29" customWidth="1"/>
    <col min="16129" max="16129" width="18.140625" style="29" customWidth="1"/>
    <col min="16130" max="16130" width="11.140625" style="29" customWidth="1"/>
    <col min="16131" max="16131" width="2.5703125" style="29" customWidth="1"/>
    <col min="16132" max="16384" width="11.42578125" style="29"/>
  </cols>
  <sheetData>
    <row r="1" spans="2:6" ht="15.75" x14ac:dyDescent="0.25">
      <c r="C1" s="30" t="s">
        <v>38</v>
      </c>
      <c r="D1" s="30"/>
      <c r="E1" s="30"/>
      <c r="F1" s="30"/>
    </row>
    <row r="2" spans="2:6" ht="15.75" x14ac:dyDescent="0.25">
      <c r="C2" s="31" t="s">
        <v>39</v>
      </c>
      <c r="D2" s="32"/>
      <c r="E2" s="32"/>
      <c r="F2" s="32"/>
    </row>
    <row r="3" spans="2:6" ht="15.75" x14ac:dyDescent="0.25">
      <c r="C3" s="31" t="s">
        <v>40</v>
      </c>
      <c r="D3" s="32" t="s">
        <v>49</v>
      </c>
      <c r="E3" s="32"/>
      <c r="F3" s="32"/>
    </row>
    <row r="4" spans="2:6" ht="15.75" x14ac:dyDescent="0.25">
      <c r="C4" s="33" t="s">
        <v>41</v>
      </c>
      <c r="D4" s="34" t="s">
        <v>42</v>
      </c>
      <c r="E4" s="34"/>
      <c r="F4" s="34"/>
    </row>
    <row r="5" spans="2:6" ht="15.75" x14ac:dyDescent="0.25">
      <c r="C5" s="35" t="s">
        <v>43</v>
      </c>
      <c r="D5" s="36" t="s">
        <v>50</v>
      </c>
      <c r="E5" s="36"/>
      <c r="F5" s="36"/>
    </row>
    <row r="6" spans="2:6" ht="15.75" x14ac:dyDescent="0.25">
      <c r="C6" s="35" t="s">
        <v>44</v>
      </c>
      <c r="D6" s="37">
        <v>1</v>
      </c>
      <c r="E6" s="37"/>
      <c r="F6" s="37"/>
    </row>
    <row r="7" spans="2:6" ht="15.75" x14ac:dyDescent="0.25">
      <c r="C7" s="35" t="s">
        <v>45</v>
      </c>
      <c r="D7" s="36" t="s">
        <v>51</v>
      </c>
      <c r="E7" s="36"/>
      <c r="F7" s="36"/>
    </row>
    <row r="9" spans="2:6" ht="15.75" x14ac:dyDescent="0.2">
      <c r="C9" s="41" t="s">
        <v>46</v>
      </c>
      <c r="D9" s="42"/>
      <c r="E9" s="38" t="s">
        <v>47</v>
      </c>
      <c r="F9" s="38" t="s">
        <v>48</v>
      </c>
    </row>
    <row r="10" spans="2:6" ht="15.75" x14ac:dyDescent="0.25">
      <c r="B10" s="29">
        <v>1</v>
      </c>
      <c r="C10" s="40" t="s">
        <v>84</v>
      </c>
      <c r="D10" s="40"/>
      <c r="E10" s="40" t="s">
        <v>60</v>
      </c>
      <c r="F10" s="39" t="s">
        <v>101</v>
      </c>
    </row>
    <row r="11" spans="2:6" ht="15.75" x14ac:dyDescent="0.25">
      <c r="B11" s="29">
        <v>2</v>
      </c>
      <c r="C11" s="40" t="s">
        <v>85</v>
      </c>
      <c r="D11" s="40"/>
      <c r="E11" s="40" t="s">
        <v>61</v>
      </c>
      <c r="F11" s="39" t="s">
        <v>101</v>
      </c>
    </row>
    <row r="12" spans="2:6" ht="15.75" x14ac:dyDescent="0.25">
      <c r="B12" s="29">
        <v>3</v>
      </c>
      <c r="C12" s="40" t="s">
        <v>80</v>
      </c>
      <c r="D12" s="40"/>
      <c r="E12" s="40" t="s">
        <v>56</v>
      </c>
      <c r="F12" s="39" t="s">
        <v>101</v>
      </c>
    </row>
    <row r="13" spans="2:6" ht="15.75" x14ac:dyDescent="0.25">
      <c r="B13" s="29">
        <v>4</v>
      </c>
      <c r="C13" s="40" t="s">
        <v>86</v>
      </c>
      <c r="D13" s="40"/>
      <c r="E13" s="40" t="s">
        <v>62</v>
      </c>
      <c r="F13" s="39" t="s">
        <v>101</v>
      </c>
    </row>
    <row r="14" spans="2:6" ht="15.75" x14ac:dyDescent="0.25">
      <c r="B14" s="29">
        <v>5</v>
      </c>
      <c r="C14" s="40" t="s">
        <v>87</v>
      </c>
      <c r="D14" s="40"/>
      <c r="E14" s="40" t="s">
        <v>63</v>
      </c>
      <c r="F14" s="39" t="s">
        <v>101</v>
      </c>
    </row>
    <row r="15" spans="2:6" ht="15.75" x14ac:dyDescent="0.25">
      <c r="B15" s="29">
        <v>6</v>
      </c>
      <c r="C15" s="40" t="s">
        <v>88</v>
      </c>
      <c r="D15" s="40"/>
      <c r="E15" s="40" t="s">
        <v>64</v>
      </c>
      <c r="F15" s="39" t="s">
        <v>101</v>
      </c>
    </row>
    <row r="16" spans="2:6" ht="15.75" x14ac:dyDescent="0.25">
      <c r="B16" s="29">
        <v>7</v>
      </c>
      <c r="C16" s="40" t="s">
        <v>89</v>
      </c>
      <c r="D16" s="40"/>
      <c r="E16" s="40" t="s">
        <v>65</v>
      </c>
      <c r="F16" s="39" t="s">
        <v>101</v>
      </c>
    </row>
    <row r="17" spans="2:6" ht="15.75" x14ac:dyDescent="0.25">
      <c r="B17" s="29">
        <v>8</v>
      </c>
      <c r="C17" s="40" t="s">
        <v>90</v>
      </c>
      <c r="D17" s="40"/>
      <c r="E17" s="40" t="s">
        <v>66</v>
      </c>
      <c r="F17" s="39" t="s">
        <v>101</v>
      </c>
    </row>
    <row r="18" spans="2:6" ht="15.75" x14ac:dyDescent="0.25">
      <c r="B18" s="29">
        <v>9</v>
      </c>
      <c r="C18" s="40" t="s">
        <v>91</v>
      </c>
      <c r="D18" s="40"/>
      <c r="E18" s="40" t="s">
        <v>67</v>
      </c>
      <c r="F18" s="39" t="s">
        <v>101</v>
      </c>
    </row>
    <row r="19" spans="2:6" ht="15.75" x14ac:dyDescent="0.25">
      <c r="B19" s="29">
        <v>10</v>
      </c>
      <c r="C19" s="40" t="s">
        <v>81</v>
      </c>
      <c r="D19" s="40"/>
      <c r="E19" s="40" t="s">
        <v>57</v>
      </c>
      <c r="F19" s="39" t="s">
        <v>101</v>
      </c>
    </row>
    <row r="20" spans="2:6" ht="15.75" x14ac:dyDescent="0.25">
      <c r="B20" s="29">
        <v>11</v>
      </c>
      <c r="C20" s="40" t="s">
        <v>77</v>
      </c>
      <c r="D20" s="40"/>
      <c r="E20" s="40" t="s">
        <v>53</v>
      </c>
      <c r="F20" s="39" t="s">
        <v>101</v>
      </c>
    </row>
    <row r="21" spans="2:6" ht="15.75" x14ac:dyDescent="0.25">
      <c r="B21" s="29">
        <v>12</v>
      </c>
      <c r="C21" s="40" t="s">
        <v>92</v>
      </c>
      <c r="D21" s="40"/>
      <c r="E21" s="40" t="s">
        <v>68</v>
      </c>
      <c r="F21" s="39" t="s">
        <v>101</v>
      </c>
    </row>
    <row r="22" spans="2:6" ht="15.75" x14ac:dyDescent="0.25">
      <c r="B22" s="29">
        <v>13</v>
      </c>
      <c r="C22" s="40" t="s">
        <v>93</v>
      </c>
      <c r="D22" s="40"/>
      <c r="E22" s="40" t="s">
        <v>69</v>
      </c>
      <c r="F22" s="39" t="s">
        <v>101</v>
      </c>
    </row>
    <row r="23" spans="2:6" ht="15.75" x14ac:dyDescent="0.25">
      <c r="B23" s="29">
        <v>14</v>
      </c>
      <c r="C23" s="40" t="s">
        <v>82</v>
      </c>
      <c r="D23" s="40"/>
      <c r="E23" s="40" t="s">
        <v>58</v>
      </c>
      <c r="F23" s="39" t="s">
        <v>101</v>
      </c>
    </row>
    <row r="24" spans="2:6" ht="15.75" x14ac:dyDescent="0.25">
      <c r="B24" s="29">
        <v>15</v>
      </c>
      <c r="C24" s="40" t="s">
        <v>78</v>
      </c>
      <c r="D24" s="40"/>
      <c r="E24" s="40" t="s">
        <v>54</v>
      </c>
      <c r="F24" s="39" t="s">
        <v>101</v>
      </c>
    </row>
    <row r="25" spans="2:6" ht="15.75" x14ac:dyDescent="0.25">
      <c r="B25" s="29">
        <v>16</v>
      </c>
      <c r="C25" s="40" t="s">
        <v>94</v>
      </c>
      <c r="D25" s="40"/>
      <c r="E25" s="40" t="s">
        <v>70</v>
      </c>
      <c r="F25" s="39" t="s">
        <v>101</v>
      </c>
    </row>
    <row r="26" spans="2:6" ht="15.75" x14ac:dyDescent="0.25">
      <c r="B26" s="29">
        <v>17</v>
      </c>
      <c r="C26" s="40" t="s">
        <v>95</v>
      </c>
      <c r="D26" s="40"/>
      <c r="E26" s="40" t="s">
        <v>71</v>
      </c>
      <c r="F26" s="39" t="s">
        <v>101</v>
      </c>
    </row>
    <row r="27" spans="2:6" ht="15.75" x14ac:dyDescent="0.25">
      <c r="B27" s="29">
        <v>18</v>
      </c>
      <c r="C27" s="40" t="s">
        <v>79</v>
      </c>
      <c r="D27" s="40"/>
      <c r="E27" s="40" t="s">
        <v>55</v>
      </c>
      <c r="F27" s="39" t="s">
        <v>101</v>
      </c>
    </row>
    <row r="28" spans="2:6" ht="15.75" x14ac:dyDescent="0.25">
      <c r="B28" s="29">
        <v>19</v>
      </c>
      <c r="C28" s="40" t="s">
        <v>83</v>
      </c>
      <c r="D28" s="40"/>
      <c r="E28" s="40" t="s">
        <v>59</v>
      </c>
      <c r="F28" s="39" t="s">
        <v>101</v>
      </c>
    </row>
    <row r="29" spans="2:6" ht="15.75" x14ac:dyDescent="0.25">
      <c r="B29" s="29">
        <v>20</v>
      </c>
      <c r="C29" s="40" t="s">
        <v>96</v>
      </c>
      <c r="D29" s="40"/>
      <c r="E29" s="40" t="s">
        <v>72</v>
      </c>
      <c r="F29" s="39" t="s">
        <v>101</v>
      </c>
    </row>
    <row r="30" spans="2:6" ht="15.75" x14ac:dyDescent="0.25">
      <c r="B30" s="29">
        <v>21</v>
      </c>
      <c r="C30" s="40" t="s">
        <v>97</v>
      </c>
      <c r="D30" s="40"/>
      <c r="E30" s="40" t="s">
        <v>73</v>
      </c>
      <c r="F30" s="39" t="s">
        <v>101</v>
      </c>
    </row>
    <row r="31" spans="2:6" ht="15.75" x14ac:dyDescent="0.25">
      <c r="B31" s="29">
        <v>22</v>
      </c>
      <c r="C31" s="40" t="s">
        <v>98</v>
      </c>
      <c r="D31" s="40"/>
      <c r="E31" s="40" t="s">
        <v>74</v>
      </c>
      <c r="F31" s="39" t="s">
        <v>101</v>
      </c>
    </row>
    <row r="32" spans="2:6" ht="15.75" x14ac:dyDescent="0.25">
      <c r="B32" s="29">
        <v>23</v>
      </c>
      <c r="C32" s="40" t="s">
        <v>99</v>
      </c>
      <c r="D32" s="40"/>
      <c r="E32" s="40" t="s">
        <v>75</v>
      </c>
      <c r="F32" s="39" t="s">
        <v>101</v>
      </c>
    </row>
    <row r="33" spans="2:6" ht="15.75" x14ac:dyDescent="0.25">
      <c r="B33" s="29">
        <v>24</v>
      </c>
      <c r="C33" s="40" t="s">
        <v>76</v>
      </c>
      <c r="D33" s="40"/>
      <c r="E33" s="40" t="s">
        <v>52</v>
      </c>
      <c r="F33" s="39" t="s">
        <v>100</v>
      </c>
    </row>
  </sheetData>
  <mergeCells count="6">
    <mergeCell ref="C1:F1"/>
    <mergeCell ref="D2:F2"/>
    <mergeCell ref="D3:F3"/>
    <mergeCell ref="D4:F4"/>
    <mergeCell ref="D5:F5"/>
    <mergeCell ref="D7:F7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workbookViewId="0">
      <selection activeCell="N13" sqref="N13"/>
    </sheetView>
  </sheetViews>
  <sheetFormatPr baseColWidth="10" defaultColWidth="9" defaultRowHeight="14.25" x14ac:dyDescent="0.2"/>
  <cols>
    <col min="1" max="1" width="5.42578125" style="3" customWidth="1"/>
    <col min="2" max="2" width="9.5703125" style="3" customWidth="1"/>
    <col min="3" max="3" width="30.140625" style="3" customWidth="1"/>
    <col min="4" max="4" width="8.7109375" style="3" customWidth="1"/>
    <col min="5" max="5" width="8.85546875" style="3" customWidth="1"/>
    <col min="6" max="6" width="9.140625" style="3" customWidth="1"/>
    <col min="7" max="8" width="9" style="3"/>
    <col min="9" max="9" width="12.42578125" style="3" customWidth="1"/>
    <col min="10" max="11" width="13.140625" style="3" customWidth="1"/>
    <col min="12" max="12" width="23" style="3" bestFit="1" customWidth="1"/>
    <col min="13" max="13" width="14.5703125" style="3" customWidth="1"/>
    <col min="14" max="14" width="13.5703125" style="3" customWidth="1"/>
    <col min="15" max="16384" width="9" style="3"/>
  </cols>
  <sheetData>
    <row r="1" spans="1:15" ht="15" thickBot="1" x14ac:dyDescent="0.25">
      <c r="A1" s="1" t="s">
        <v>12</v>
      </c>
      <c r="B1" s="1" t="s">
        <v>13</v>
      </c>
      <c r="C1" s="1" t="s">
        <v>6</v>
      </c>
      <c r="D1" s="2" t="s">
        <v>9</v>
      </c>
      <c r="E1" s="2" t="s">
        <v>10</v>
      </c>
      <c r="F1" s="2" t="s">
        <v>11</v>
      </c>
      <c r="G1" s="2" t="s">
        <v>0</v>
      </c>
      <c r="H1" s="2" t="s">
        <v>1</v>
      </c>
      <c r="I1" s="2" t="s">
        <v>2</v>
      </c>
      <c r="J1" s="2" t="s">
        <v>7</v>
      </c>
      <c r="K1" s="2" t="s">
        <v>8</v>
      </c>
      <c r="L1" s="2" t="s">
        <v>5</v>
      </c>
      <c r="M1" s="2" t="s">
        <v>3</v>
      </c>
      <c r="N1" s="2" t="s">
        <v>4</v>
      </c>
    </row>
    <row r="2" spans="1:15" ht="15.75" thickBot="1" x14ac:dyDescent="0.3">
      <c r="A2" s="4">
        <v>1</v>
      </c>
      <c r="B2" s="26">
        <v>1</v>
      </c>
      <c r="C2" s="9" t="s">
        <v>14</v>
      </c>
      <c r="D2" s="23">
        <v>95</v>
      </c>
      <c r="E2" s="23">
        <v>100</v>
      </c>
      <c r="F2" s="23">
        <v>90</v>
      </c>
      <c r="G2" s="24">
        <v>100</v>
      </c>
      <c r="H2" s="24">
        <v>98</v>
      </c>
      <c r="I2" s="24">
        <v>100</v>
      </c>
      <c r="J2" s="24">
        <v>100</v>
      </c>
      <c r="K2" s="24">
        <v>100</v>
      </c>
      <c r="L2" s="24">
        <v>100</v>
      </c>
      <c r="M2" s="17">
        <f>D2*$D$26+E2*$E$26+F2*$F$26+G2*$G$26+H2*$H$26+I2*$I$26+J2*$J$26+K2*$K$26+L2*$L$26</f>
        <v>98.899999999990499</v>
      </c>
      <c r="N2" s="18">
        <v>100</v>
      </c>
    </row>
    <row r="3" spans="1:15" ht="15.75" thickBot="1" x14ac:dyDescent="0.3">
      <c r="A3" s="4">
        <v>2</v>
      </c>
      <c r="B3" s="27"/>
      <c r="C3" s="10" t="s">
        <v>15</v>
      </c>
      <c r="D3" s="23">
        <v>95</v>
      </c>
      <c r="E3" s="23">
        <v>100</v>
      </c>
      <c r="F3" s="23">
        <v>90</v>
      </c>
      <c r="G3" s="15">
        <v>100</v>
      </c>
      <c r="H3" s="15">
        <v>98</v>
      </c>
      <c r="I3" s="15">
        <v>100</v>
      </c>
      <c r="J3" s="15">
        <v>100</v>
      </c>
      <c r="K3" s="15">
        <v>100</v>
      </c>
      <c r="L3" s="15">
        <v>100</v>
      </c>
      <c r="M3" s="19">
        <f t="shared" ref="M3:M25" si="0">D3*$D$26+E3*$E$26+F3*$F$26+G3*$G$26+H3*$H$26+I3*$I$26+J3*$J$26+K3*$K$26+L3*$L$26</f>
        <v>98.899999999990499</v>
      </c>
      <c r="N3" s="6">
        <v>100</v>
      </c>
    </row>
    <row r="4" spans="1:15" ht="15.75" thickBot="1" x14ac:dyDescent="0.3">
      <c r="A4" s="4">
        <v>3</v>
      </c>
      <c r="B4" s="27"/>
      <c r="C4" s="10" t="s">
        <v>16</v>
      </c>
      <c r="D4" s="23">
        <v>95</v>
      </c>
      <c r="E4" s="23">
        <v>100</v>
      </c>
      <c r="F4" s="23">
        <v>90</v>
      </c>
      <c r="G4" s="15">
        <v>100</v>
      </c>
      <c r="H4" s="15">
        <v>98</v>
      </c>
      <c r="I4" s="15">
        <v>100</v>
      </c>
      <c r="J4" s="15">
        <v>100</v>
      </c>
      <c r="K4" s="15">
        <v>100</v>
      </c>
      <c r="L4" s="15">
        <v>100</v>
      </c>
      <c r="M4" s="19">
        <f t="shared" si="0"/>
        <v>98.899999999990499</v>
      </c>
      <c r="N4" s="6">
        <v>100</v>
      </c>
    </row>
    <row r="5" spans="1:15" ht="15.75" thickBot="1" x14ac:dyDescent="0.3">
      <c r="A5" s="4">
        <v>4</v>
      </c>
      <c r="B5" s="27"/>
      <c r="C5" s="10" t="s">
        <v>17</v>
      </c>
      <c r="D5" s="23">
        <v>95</v>
      </c>
      <c r="E5" s="23">
        <v>100</v>
      </c>
      <c r="F5" s="23">
        <v>90</v>
      </c>
      <c r="G5" s="15">
        <v>100</v>
      </c>
      <c r="H5" s="15">
        <v>98</v>
      </c>
      <c r="I5" s="15">
        <v>100</v>
      </c>
      <c r="J5" s="15">
        <v>100</v>
      </c>
      <c r="K5" s="15">
        <v>100</v>
      </c>
      <c r="L5" s="15">
        <v>100</v>
      </c>
      <c r="M5" s="19">
        <f t="shared" si="0"/>
        <v>98.899999999990499</v>
      </c>
      <c r="N5" s="6">
        <v>100</v>
      </c>
    </row>
    <row r="6" spans="1:15" ht="15.75" thickBot="1" x14ac:dyDescent="0.3">
      <c r="A6" s="4">
        <v>5</v>
      </c>
      <c r="B6" s="27"/>
      <c r="C6" s="10" t="s">
        <v>18</v>
      </c>
      <c r="D6" s="23">
        <v>95</v>
      </c>
      <c r="E6" s="23">
        <v>100</v>
      </c>
      <c r="F6" s="23">
        <v>90</v>
      </c>
      <c r="G6" s="15">
        <v>100</v>
      </c>
      <c r="H6" s="15">
        <v>98</v>
      </c>
      <c r="I6" s="15">
        <v>100</v>
      </c>
      <c r="J6" s="15">
        <v>100</v>
      </c>
      <c r="K6" s="15">
        <v>100</v>
      </c>
      <c r="L6" s="15">
        <v>100</v>
      </c>
      <c r="M6" s="19">
        <f t="shared" si="0"/>
        <v>98.899999999990499</v>
      </c>
      <c r="N6" s="6">
        <v>100</v>
      </c>
    </row>
    <row r="7" spans="1:15" ht="15.75" thickBot="1" x14ac:dyDescent="0.3">
      <c r="A7" s="5">
        <v>6</v>
      </c>
      <c r="B7" s="28"/>
      <c r="C7" s="10" t="s">
        <v>19</v>
      </c>
      <c r="D7" s="25">
        <v>95</v>
      </c>
      <c r="E7" s="25">
        <v>100</v>
      </c>
      <c r="F7" s="25">
        <v>90</v>
      </c>
      <c r="G7" s="20">
        <v>100</v>
      </c>
      <c r="H7" s="20">
        <v>98</v>
      </c>
      <c r="I7" s="20">
        <v>100</v>
      </c>
      <c r="J7" s="20">
        <v>100</v>
      </c>
      <c r="K7" s="20">
        <v>100</v>
      </c>
      <c r="L7" s="20">
        <v>100</v>
      </c>
      <c r="M7" s="19">
        <f t="shared" si="0"/>
        <v>98.899999999990499</v>
      </c>
      <c r="N7" s="6">
        <v>100</v>
      </c>
    </row>
    <row r="8" spans="1:15" ht="15.75" thickBot="1" x14ac:dyDescent="0.3">
      <c r="A8" s="4">
        <v>7</v>
      </c>
      <c r="B8" s="26">
        <v>2</v>
      </c>
      <c r="C8" s="11" t="s">
        <v>20</v>
      </c>
      <c r="D8" s="23">
        <v>100</v>
      </c>
      <c r="E8" s="23">
        <v>100</v>
      </c>
      <c r="F8" s="23">
        <v>100</v>
      </c>
      <c r="G8" s="15">
        <v>100</v>
      </c>
      <c r="H8" s="15">
        <v>92</v>
      </c>
      <c r="I8" s="15">
        <v>100</v>
      </c>
      <c r="J8" s="15">
        <v>100</v>
      </c>
      <c r="K8" s="15">
        <v>100</v>
      </c>
      <c r="L8" s="15">
        <v>100</v>
      </c>
      <c r="M8" s="17">
        <f t="shared" si="0"/>
        <v>97.59999999998999</v>
      </c>
      <c r="N8" s="18">
        <v>100</v>
      </c>
    </row>
    <row r="9" spans="1:15" ht="15.75" thickBot="1" x14ac:dyDescent="0.3">
      <c r="A9" s="4">
        <v>8</v>
      </c>
      <c r="B9" s="27"/>
      <c r="C9" s="10" t="s">
        <v>21</v>
      </c>
      <c r="D9" s="23">
        <v>100</v>
      </c>
      <c r="E9" s="23">
        <v>100</v>
      </c>
      <c r="F9" s="23">
        <v>100</v>
      </c>
      <c r="G9" s="15">
        <v>100</v>
      </c>
      <c r="H9" s="15">
        <v>92</v>
      </c>
      <c r="I9" s="15">
        <v>100</v>
      </c>
      <c r="J9" s="15">
        <v>100</v>
      </c>
      <c r="K9" s="15">
        <v>100</v>
      </c>
      <c r="L9" s="15">
        <v>100</v>
      </c>
      <c r="M9" s="19">
        <f t="shared" si="0"/>
        <v>97.59999999998999</v>
      </c>
      <c r="N9" s="18">
        <v>100</v>
      </c>
    </row>
    <row r="10" spans="1:15" ht="15.75" thickBot="1" x14ac:dyDescent="0.3">
      <c r="A10" s="4">
        <v>9</v>
      </c>
      <c r="B10" s="27"/>
      <c r="C10" s="10" t="s">
        <v>22</v>
      </c>
      <c r="D10" s="23">
        <v>100</v>
      </c>
      <c r="E10" s="23">
        <v>100</v>
      </c>
      <c r="F10" s="23">
        <v>100</v>
      </c>
      <c r="G10" s="15">
        <v>100</v>
      </c>
      <c r="H10" s="15">
        <v>92</v>
      </c>
      <c r="I10" s="15">
        <v>100</v>
      </c>
      <c r="J10" s="15">
        <v>100</v>
      </c>
      <c r="K10" s="15">
        <v>100</v>
      </c>
      <c r="L10" s="15">
        <v>100</v>
      </c>
      <c r="M10" s="19">
        <f t="shared" si="0"/>
        <v>97.59999999998999</v>
      </c>
      <c r="N10" s="18">
        <v>100</v>
      </c>
    </row>
    <row r="11" spans="1:15" ht="15.75" thickBot="1" x14ac:dyDescent="0.3">
      <c r="A11" s="4">
        <v>10</v>
      </c>
      <c r="B11" s="27"/>
      <c r="C11" s="10" t="s">
        <v>23</v>
      </c>
      <c r="D11" s="23">
        <v>100</v>
      </c>
      <c r="E11" s="23">
        <v>100</v>
      </c>
      <c r="F11" s="23">
        <v>100</v>
      </c>
      <c r="G11" s="15">
        <v>100</v>
      </c>
      <c r="H11" s="15">
        <v>92</v>
      </c>
      <c r="I11" s="15">
        <v>100</v>
      </c>
      <c r="J11" s="15">
        <v>100</v>
      </c>
      <c r="K11" s="15">
        <v>100</v>
      </c>
      <c r="L11" s="15">
        <v>100</v>
      </c>
      <c r="M11" s="19">
        <f t="shared" si="0"/>
        <v>97.59999999998999</v>
      </c>
      <c r="N11" s="18">
        <v>100</v>
      </c>
    </row>
    <row r="12" spans="1:15" ht="15.75" thickBot="1" x14ac:dyDescent="0.3">
      <c r="A12" s="4">
        <v>11</v>
      </c>
      <c r="B12" s="27"/>
      <c r="C12" s="10" t="s">
        <v>24</v>
      </c>
      <c r="D12" s="23">
        <v>100</v>
      </c>
      <c r="E12" s="23">
        <v>100</v>
      </c>
      <c r="F12" s="23">
        <v>100</v>
      </c>
      <c r="G12" s="15">
        <v>100</v>
      </c>
      <c r="H12" s="15">
        <v>92</v>
      </c>
      <c r="I12" s="15">
        <v>100</v>
      </c>
      <c r="J12" s="15">
        <v>100</v>
      </c>
      <c r="K12" s="15">
        <v>100</v>
      </c>
      <c r="L12" s="15">
        <v>100</v>
      </c>
      <c r="M12" s="19">
        <f t="shared" si="0"/>
        <v>97.59999999998999</v>
      </c>
      <c r="N12" s="18">
        <v>100</v>
      </c>
    </row>
    <row r="13" spans="1:15" ht="15.75" thickBot="1" x14ac:dyDescent="0.3">
      <c r="A13" s="5">
        <v>12</v>
      </c>
      <c r="B13" s="28"/>
      <c r="C13" s="10" t="s">
        <v>25</v>
      </c>
      <c r="D13" s="25">
        <v>0</v>
      </c>
      <c r="E13" s="25">
        <v>0</v>
      </c>
      <c r="F13" s="25">
        <v>0</v>
      </c>
      <c r="G13" s="20">
        <v>100</v>
      </c>
      <c r="H13" s="20">
        <v>92</v>
      </c>
      <c r="I13" s="20">
        <v>0</v>
      </c>
      <c r="J13" s="20">
        <v>100</v>
      </c>
      <c r="K13" s="20">
        <v>100</v>
      </c>
      <c r="L13" s="20">
        <v>0</v>
      </c>
      <c r="M13" s="19">
        <f t="shared" si="0"/>
        <v>67.599999999999994</v>
      </c>
      <c r="N13" s="18">
        <v>70</v>
      </c>
    </row>
    <row r="14" spans="1:15" ht="15.75" thickBot="1" x14ac:dyDescent="0.3">
      <c r="A14" s="4">
        <v>13</v>
      </c>
      <c r="B14" s="26">
        <v>3</v>
      </c>
      <c r="C14" s="9" t="s">
        <v>26</v>
      </c>
      <c r="D14" s="23">
        <v>95</v>
      </c>
      <c r="E14" s="23">
        <v>100</v>
      </c>
      <c r="F14" s="23">
        <v>95</v>
      </c>
      <c r="G14" s="15">
        <v>100</v>
      </c>
      <c r="H14" s="15">
        <v>100</v>
      </c>
      <c r="I14" s="15">
        <v>100</v>
      </c>
      <c r="J14" s="15">
        <v>100</v>
      </c>
      <c r="K14" s="15">
        <v>100</v>
      </c>
      <c r="L14" s="15">
        <v>95</v>
      </c>
      <c r="M14" s="17">
        <f t="shared" si="0"/>
        <v>99.166666666656994</v>
      </c>
      <c r="N14" s="18">
        <v>100</v>
      </c>
    </row>
    <row r="15" spans="1:15" ht="15.75" thickBot="1" x14ac:dyDescent="0.3">
      <c r="A15" s="4">
        <v>14</v>
      </c>
      <c r="B15" s="27"/>
      <c r="C15" s="10" t="s">
        <v>27</v>
      </c>
      <c r="D15" s="23">
        <v>95</v>
      </c>
      <c r="E15" s="23">
        <v>100</v>
      </c>
      <c r="F15" s="23">
        <v>95</v>
      </c>
      <c r="G15" s="15">
        <v>100</v>
      </c>
      <c r="H15" s="15">
        <v>100</v>
      </c>
      <c r="I15" s="15">
        <v>100</v>
      </c>
      <c r="J15" s="15">
        <v>100</v>
      </c>
      <c r="K15" s="15">
        <v>100</v>
      </c>
      <c r="L15" s="15">
        <v>95</v>
      </c>
      <c r="M15" s="19">
        <f t="shared" si="0"/>
        <v>99.166666666656994</v>
      </c>
      <c r="N15" s="6">
        <v>100</v>
      </c>
      <c r="O15" s="8"/>
    </row>
    <row r="16" spans="1:15" ht="15.75" thickBot="1" x14ac:dyDescent="0.3">
      <c r="A16" s="4">
        <v>15</v>
      </c>
      <c r="B16" s="27"/>
      <c r="C16" s="10" t="s">
        <v>28</v>
      </c>
      <c r="D16" s="23">
        <v>95</v>
      </c>
      <c r="E16" s="23">
        <v>100</v>
      </c>
      <c r="F16" s="23">
        <v>95</v>
      </c>
      <c r="G16" s="15">
        <v>100</v>
      </c>
      <c r="H16" s="15">
        <v>100</v>
      </c>
      <c r="I16" s="15">
        <v>100</v>
      </c>
      <c r="J16" s="15">
        <v>100</v>
      </c>
      <c r="K16" s="15">
        <v>100</v>
      </c>
      <c r="L16" s="15">
        <v>95</v>
      </c>
      <c r="M16" s="19">
        <f t="shared" si="0"/>
        <v>99.166666666656994</v>
      </c>
      <c r="N16" s="6">
        <v>100</v>
      </c>
      <c r="O16" s="8"/>
    </row>
    <row r="17" spans="1:15" ht="15.75" thickBot="1" x14ac:dyDescent="0.3">
      <c r="A17" s="4">
        <v>16</v>
      </c>
      <c r="B17" s="27"/>
      <c r="C17" s="10" t="s">
        <v>29</v>
      </c>
      <c r="D17" s="23">
        <v>95</v>
      </c>
      <c r="E17" s="23">
        <v>100</v>
      </c>
      <c r="F17" s="23">
        <v>95</v>
      </c>
      <c r="G17" s="15">
        <v>100</v>
      </c>
      <c r="H17" s="15">
        <v>100</v>
      </c>
      <c r="I17" s="15">
        <v>100</v>
      </c>
      <c r="J17" s="15">
        <v>100</v>
      </c>
      <c r="K17" s="15">
        <v>100</v>
      </c>
      <c r="L17" s="15">
        <v>95</v>
      </c>
      <c r="M17" s="19">
        <f t="shared" si="0"/>
        <v>99.166666666656994</v>
      </c>
      <c r="N17" s="6">
        <v>100</v>
      </c>
      <c r="O17" s="8"/>
    </row>
    <row r="18" spans="1:15" ht="15.75" thickBot="1" x14ac:dyDescent="0.3">
      <c r="A18" s="4">
        <v>17</v>
      </c>
      <c r="B18" s="27"/>
      <c r="C18" s="10" t="s">
        <v>30</v>
      </c>
      <c r="D18" s="23">
        <v>95</v>
      </c>
      <c r="E18" s="23">
        <v>100</v>
      </c>
      <c r="F18" s="23">
        <v>95</v>
      </c>
      <c r="G18" s="15">
        <v>100</v>
      </c>
      <c r="H18" s="15">
        <v>100</v>
      </c>
      <c r="I18" s="15">
        <v>100</v>
      </c>
      <c r="J18" s="15">
        <v>100</v>
      </c>
      <c r="K18" s="15">
        <v>100</v>
      </c>
      <c r="L18" s="15">
        <v>95</v>
      </c>
      <c r="M18" s="19">
        <f t="shared" si="0"/>
        <v>99.166666666656994</v>
      </c>
      <c r="N18" s="6">
        <v>100</v>
      </c>
      <c r="O18" s="8"/>
    </row>
    <row r="19" spans="1:15" ht="15.75" thickBot="1" x14ac:dyDescent="0.3">
      <c r="A19" s="5">
        <v>18</v>
      </c>
      <c r="B19" s="28"/>
      <c r="C19" s="10" t="s">
        <v>31</v>
      </c>
      <c r="D19" s="20">
        <v>95</v>
      </c>
      <c r="E19" s="25">
        <v>100</v>
      </c>
      <c r="F19" s="25">
        <v>95</v>
      </c>
      <c r="G19" s="20">
        <v>100</v>
      </c>
      <c r="H19" s="20">
        <v>100</v>
      </c>
      <c r="I19" s="20">
        <v>100</v>
      </c>
      <c r="J19" s="20">
        <v>100</v>
      </c>
      <c r="K19" s="20">
        <v>100</v>
      </c>
      <c r="L19" s="20">
        <v>95</v>
      </c>
      <c r="M19" s="19">
        <f t="shared" si="0"/>
        <v>99.166666666656994</v>
      </c>
      <c r="N19" s="6">
        <v>100</v>
      </c>
    </row>
    <row r="20" spans="1:15" ht="15.75" thickBot="1" x14ac:dyDescent="0.3">
      <c r="A20" s="13">
        <v>19</v>
      </c>
      <c r="B20" s="26">
        <v>4</v>
      </c>
      <c r="C20" s="9" t="s">
        <v>32</v>
      </c>
      <c r="D20" s="15">
        <v>100</v>
      </c>
      <c r="E20" s="15">
        <v>95</v>
      </c>
      <c r="F20" s="16">
        <v>90</v>
      </c>
      <c r="G20" s="15">
        <v>100</v>
      </c>
      <c r="H20" s="15">
        <v>97</v>
      </c>
      <c r="I20" s="15">
        <v>100</v>
      </c>
      <c r="J20" s="15">
        <v>100</v>
      </c>
      <c r="K20" s="15">
        <v>100</v>
      </c>
      <c r="L20" s="15">
        <v>95</v>
      </c>
      <c r="M20" s="17">
        <f t="shared" si="0"/>
        <v>98.099999999990501</v>
      </c>
      <c r="N20" s="18">
        <v>100</v>
      </c>
    </row>
    <row r="21" spans="1:15" ht="15.75" thickBot="1" x14ac:dyDescent="0.3">
      <c r="A21" s="13">
        <v>20</v>
      </c>
      <c r="B21" s="27"/>
      <c r="C21" s="12" t="s">
        <v>33</v>
      </c>
      <c r="D21" s="15">
        <v>100</v>
      </c>
      <c r="E21" s="15">
        <v>95</v>
      </c>
      <c r="F21" s="16">
        <v>90</v>
      </c>
      <c r="G21" s="15">
        <v>100</v>
      </c>
      <c r="H21" s="15">
        <v>97</v>
      </c>
      <c r="I21" s="15">
        <v>100</v>
      </c>
      <c r="J21" s="15">
        <v>100</v>
      </c>
      <c r="K21" s="15">
        <v>100</v>
      </c>
      <c r="L21" s="15">
        <v>95</v>
      </c>
      <c r="M21" s="19">
        <f t="shared" si="0"/>
        <v>98.099999999990501</v>
      </c>
      <c r="N21" s="6">
        <v>100</v>
      </c>
    </row>
    <row r="22" spans="1:15" ht="15.75" thickBot="1" x14ac:dyDescent="0.3">
      <c r="A22" s="13">
        <v>21</v>
      </c>
      <c r="B22" s="27"/>
      <c r="C22" s="10" t="s">
        <v>34</v>
      </c>
      <c r="D22" s="15">
        <v>100</v>
      </c>
      <c r="E22" s="15">
        <v>95</v>
      </c>
      <c r="F22" s="16">
        <v>90</v>
      </c>
      <c r="G22" s="15">
        <v>100</v>
      </c>
      <c r="H22" s="15">
        <v>97</v>
      </c>
      <c r="I22" s="15">
        <v>100</v>
      </c>
      <c r="J22" s="15">
        <v>100</v>
      </c>
      <c r="K22" s="15">
        <v>100</v>
      </c>
      <c r="L22" s="15">
        <v>95</v>
      </c>
      <c r="M22" s="19">
        <f t="shared" si="0"/>
        <v>98.099999999990501</v>
      </c>
      <c r="N22" s="6">
        <v>100</v>
      </c>
    </row>
    <row r="23" spans="1:15" ht="15.75" thickBot="1" x14ac:dyDescent="0.3">
      <c r="A23" s="13">
        <v>22</v>
      </c>
      <c r="B23" s="27"/>
      <c r="C23" s="10" t="s">
        <v>35</v>
      </c>
      <c r="D23" s="15">
        <v>100</v>
      </c>
      <c r="E23" s="15">
        <v>95</v>
      </c>
      <c r="F23" s="16">
        <v>90</v>
      </c>
      <c r="G23" s="15">
        <v>100</v>
      </c>
      <c r="H23" s="15">
        <v>97</v>
      </c>
      <c r="I23" s="15">
        <v>100</v>
      </c>
      <c r="J23" s="15">
        <v>100</v>
      </c>
      <c r="K23" s="15">
        <v>100</v>
      </c>
      <c r="L23" s="15">
        <v>95</v>
      </c>
      <c r="M23" s="19">
        <f t="shared" si="0"/>
        <v>98.099999999990501</v>
      </c>
      <c r="N23" s="6">
        <v>100</v>
      </c>
    </row>
    <row r="24" spans="1:15" ht="15.75" thickBot="1" x14ac:dyDescent="0.3">
      <c r="A24" s="13">
        <v>23</v>
      </c>
      <c r="B24" s="27"/>
      <c r="C24" s="10" t="s">
        <v>36</v>
      </c>
      <c r="D24" s="15">
        <v>100</v>
      </c>
      <c r="E24" s="15">
        <v>95</v>
      </c>
      <c r="F24" s="16">
        <v>90</v>
      </c>
      <c r="G24" s="15">
        <v>100</v>
      </c>
      <c r="H24" s="15">
        <v>97</v>
      </c>
      <c r="I24" s="15">
        <v>100</v>
      </c>
      <c r="J24" s="15">
        <v>100</v>
      </c>
      <c r="K24" s="15">
        <v>100</v>
      </c>
      <c r="L24" s="15">
        <v>95</v>
      </c>
      <c r="M24" s="19">
        <f t="shared" si="0"/>
        <v>98.099999999990501</v>
      </c>
      <c r="N24" s="6">
        <v>100</v>
      </c>
    </row>
    <row r="25" spans="1:15" ht="15" x14ac:dyDescent="0.25">
      <c r="A25" s="5">
        <v>24</v>
      </c>
      <c r="B25" s="28"/>
      <c r="C25" s="14" t="s">
        <v>37</v>
      </c>
      <c r="D25" s="20">
        <v>100</v>
      </c>
      <c r="E25" s="20">
        <v>95</v>
      </c>
      <c r="F25" s="21">
        <v>90</v>
      </c>
      <c r="G25" s="20">
        <v>100</v>
      </c>
      <c r="H25" s="20">
        <v>97</v>
      </c>
      <c r="I25" s="20">
        <v>100</v>
      </c>
      <c r="J25" s="20">
        <v>100</v>
      </c>
      <c r="K25" s="20">
        <v>100</v>
      </c>
      <c r="L25" s="20">
        <v>95</v>
      </c>
      <c r="M25" s="22">
        <f t="shared" si="0"/>
        <v>98.099999999990501</v>
      </c>
      <c r="N25" s="7">
        <v>100</v>
      </c>
    </row>
    <row r="26" spans="1:15" x14ac:dyDescent="0.2">
      <c r="A26" s="1"/>
      <c r="B26" s="1"/>
      <c r="C26" s="1"/>
      <c r="D26" s="2">
        <v>3.3333333333299998E-2</v>
      </c>
      <c r="E26" s="2">
        <v>3.3333333333299998E-2</v>
      </c>
      <c r="F26" s="2">
        <v>3.3333333333299998E-2</v>
      </c>
      <c r="G26" s="2">
        <v>0.2</v>
      </c>
      <c r="H26" s="2">
        <v>0.3</v>
      </c>
      <c r="I26" s="2">
        <v>0.1</v>
      </c>
      <c r="J26" s="2">
        <v>0.1</v>
      </c>
      <c r="K26" s="2">
        <v>0.1</v>
      </c>
      <c r="L26" s="2">
        <v>0.1</v>
      </c>
      <c r="M26" s="2">
        <f>SUM(D26:L26)</f>
        <v>0.99999999999989986</v>
      </c>
      <c r="N26" s="2"/>
    </row>
  </sheetData>
  <mergeCells count="4">
    <mergeCell ref="B2:B7"/>
    <mergeCell ref="B8:B13"/>
    <mergeCell ref="B14:B19"/>
    <mergeCell ref="B20:B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Nota final</vt:lpstr>
      <vt:lpstr>Notas generales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2021-07-29T15:55:08Z</dcterms:modified>
</cp:coreProperties>
</file>