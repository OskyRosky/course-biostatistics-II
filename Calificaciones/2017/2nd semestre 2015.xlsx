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Hoja1!$A$1:$L$1</definedName>
  </definedNames>
  <calcPr calcId="145621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  <c r="N10" i="1"/>
</calcChain>
</file>

<file path=xl/sharedStrings.xml><?xml version="1.0" encoding="utf-8"?>
<sst xmlns="http://schemas.openxmlformats.org/spreadsheetml/2006/main" count="23" uniqueCount="22">
  <si>
    <t>Carné</t>
  </si>
  <si>
    <t>EC1</t>
  </si>
  <si>
    <t>EC2</t>
  </si>
  <si>
    <t>EC3</t>
  </si>
  <si>
    <t>TE1</t>
  </si>
  <si>
    <t>TE2</t>
  </si>
  <si>
    <t>Parcial 1</t>
  </si>
  <si>
    <t>Parcial 2</t>
  </si>
  <si>
    <t>Examen Final</t>
  </si>
  <si>
    <t>ID</t>
  </si>
  <si>
    <t>Calificación</t>
  </si>
  <si>
    <t xml:space="preserve">Nota </t>
  </si>
  <si>
    <t xml:space="preserve">Nombre </t>
  </si>
  <si>
    <t>Vanessa Loría Arce</t>
  </si>
  <si>
    <t>Berny  Montero Blanco</t>
  </si>
  <si>
    <t>Marvin Sequeira Marchena</t>
  </si>
  <si>
    <t>Karla Arias Ortega</t>
  </si>
  <si>
    <t>Cynthia Nuñez Brenes</t>
  </si>
  <si>
    <t>Ligia Alvarado Zeledón</t>
  </si>
  <si>
    <t>Cinthia Azofeifa Sandoval</t>
  </si>
  <si>
    <t>Lilliana Maroto Barrios</t>
  </si>
  <si>
    <t>Trabao de Investigación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</si>
</sst>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zoomScale="80" zoomScaleNormal="80" workbookViewId="0">
      <pane ySplit="480" activePane="bottomLeft"/>
      <selection activeCell="M1" sqref="M1:M1048576"/>
      <selection pane="bottomLeft" activeCell="O2" sqref="O2:O9"/>
    </sheetView>
  </sheetViews>
  <sheetFormatPr baseColWidth="10" defaultColWidth="9.140625" defaultRowHeight="15" x14ac:dyDescent="0.25"/>
  <cols>
    <col min="1" max="1" width="9.140625" style="1"/>
    <col min="2" max="2" width="36.7109375" customWidth="1"/>
    <col min="4" max="10" width="9.140625" style="1"/>
    <col min="11" max="11" width="14.5703125" style="1" customWidth="1"/>
    <col min="12" max="12" width="24.7109375" style="1" customWidth="1"/>
    <col min="13" max="13" width="23.5703125" style="1" bestFit="1" customWidth="1"/>
    <col min="14" max="14" width="13" customWidth="1"/>
  </cols>
  <sheetData>
    <row r="1" spans="1:15" x14ac:dyDescent="0.25">
      <c r="A1" s="2" t="s">
        <v>9</v>
      </c>
      <c r="B1" s="3" t="s">
        <v>12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21</v>
      </c>
      <c r="M1" s="2" t="s">
        <v>21</v>
      </c>
      <c r="N1" s="5" t="s">
        <v>10</v>
      </c>
      <c r="O1" s="4" t="s">
        <v>11</v>
      </c>
    </row>
    <row r="2" spans="1:15" x14ac:dyDescent="0.25">
      <c r="B2" t="s">
        <v>13</v>
      </c>
      <c r="C2">
        <v>971934</v>
      </c>
      <c r="D2" s="1">
        <v>100</v>
      </c>
      <c r="E2" s="1">
        <v>90</v>
      </c>
      <c r="F2" s="1">
        <v>90</v>
      </c>
      <c r="G2" s="1">
        <v>100</v>
      </c>
      <c r="H2" s="1">
        <v>100</v>
      </c>
      <c r="I2" s="1">
        <v>94</v>
      </c>
      <c r="J2" s="1">
        <v>90</v>
      </c>
      <c r="K2" s="1">
        <v>95</v>
      </c>
      <c r="L2" s="1">
        <v>94</v>
      </c>
      <c r="M2" s="1">
        <v>93</v>
      </c>
      <c r="N2">
        <f>D2*$D$10+E2*$E$10+F2*$F$10+G2*$G$10+H2*$H$10+I2*$I$10+J2*$J$10+K2*$K$10+L2*$L$10+M2*$M$10</f>
        <v>93.25</v>
      </c>
      <c r="O2" s="1">
        <v>95</v>
      </c>
    </row>
    <row r="3" spans="1:15" x14ac:dyDescent="0.25">
      <c r="B3" t="s">
        <v>14</v>
      </c>
      <c r="C3">
        <v>966907</v>
      </c>
      <c r="D3" s="1">
        <v>100</v>
      </c>
      <c r="E3" s="1">
        <v>90</v>
      </c>
      <c r="F3" s="1">
        <v>90</v>
      </c>
      <c r="G3" s="1">
        <v>100</v>
      </c>
      <c r="H3" s="1">
        <v>100</v>
      </c>
      <c r="I3" s="1">
        <v>90</v>
      </c>
      <c r="J3" s="1">
        <v>90</v>
      </c>
      <c r="K3" s="1">
        <v>95</v>
      </c>
      <c r="L3" s="1">
        <v>94</v>
      </c>
      <c r="M3" s="1">
        <v>93</v>
      </c>
      <c r="N3">
        <f t="shared" ref="N3:N9" si="0">D3*$D$10+E3*$E$10+F3*$F$10+G3*$G$10+H3*$H$10+I3*$I$10+J3*$J$10+K3*$K$10+L3*$L$10+M3*$M$10</f>
        <v>92.649999999999991</v>
      </c>
      <c r="O3" s="1">
        <v>95</v>
      </c>
    </row>
    <row r="4" spans="1:15" x14ac:dyDescent="0.25">
      <c r="B4" t="s">
        <v>15</v>
      </c>
      <c r="C4">
        <v>973228</v>
      </c>
      <c r="D4" s="1">
        <v>100</v>
      </c>
      <c r="E4" s="1">
        <v>85</v>
      </c>
      <c r="F4" s="1">
        <v>83</v>
      </c>
      <c r="G4" s="1">
        <v>100</v>
      </c>
      <c r="H4" s="1">
        <v>100</v>
      </c>
      <c r="I4" s="1">
        <v>86</v>
      </c>
      <c r="J4" s="1">
        <v>88</v>
      </c>
      <c r="K4" s="1">
        <v>89</v>
      </c>
      <c r="L4" s="1">
        <v>93</v>
      </c>
      <c r="M4" s="1">
        <v>94</v>
      </c>
      <c r="N4">
        <f t="shared" si="0"/>
        <v>90.11</v>
      </c>
      <c r="O4" s="1">
        <v>90</v>
      </c>
    </row>
    <row r="5" spans="1:15" x14ac:dyDescent="0.25">
      <c r="B5" t="s">
        <v>16</v>
      </c>
      <c r="C5">
        <v>970335</v>
      </c>
      <c r="D5" s="1">
        <v>100</v>
      </c>
      <c r="E5" s="1">
        <v>100</v>
      </c>
      <c r="F5" s="1">
        <v>88</v>
      </c>
      <c r="G5" s="1">
        <v>100</v>
      </c>
      <c r="H5" s="1">
        <v>100</v>
      </c>
      <c r="I5" s="1">
        <v>87</v>
      </c>
      <c r="J5" s="1">
        <v>80</v>
      </c>
      <c r="K5" s="1">
        <v>100</v>
      </c>
      <c r="L5" s="1">
        <v>93</v>
      </c>
      <c r="M5" s="1">
        <v>92</v>
      </c>
      <c r="N5">
        <f t="shared" si="0"/>
        <v>90.56</v>
      </c>
      <c r="O5" s="1">
        <v>90</v>
      </c>
    </row>
    <row r="6" spans="1:15" x14ac:dyDescent="0.25">
      <c r="B6" t="s">
        <v>17</v>
      </c>
      <c r="C6">
        <v>912577</v>
      </c>
      <c r="D6" s="1">
        <v>100</v>
      </c>
      <c r="E6" s="1">
        <v>100</v>
      </c>
      <c r="F6" s="1">
        <v>88</v>
      </c>
      <c r="G6" s="1">
        <v>100</v>
      </c>
      <c r="H6" s="1">
        <v>100</v>
      </c>
      <c r="I6" s="1">
        <v>91</v>
      </c>
      <c r="J6" s="1">
        <v>80</v>
      </c>
      <c r="K6" s="1">
        <v>100</v>
      </c>
      <c r="L6" s="1">
        <v>93</v>
      </c>
      <c r="M6" s="1">
        <v>92</v>
      </c>
      <c r="N6">
        <f t="shared" si="0"/>
        <v>91.16</v>
      </c>
      <c r="O6" s="1">
        <v>90</v>
      </c>
    </row>
    <row r="7" spans="1:15" x14ac:dyDescent="0.25">
      <c r="B7" t="s">
        <v>18</v>
      </c>
      <c r="C7">
        <v>970335</v>
      </c>
      <c r="D7" s="1">
        <v>100</v>
      </c>
      <c r="E7" s="1">
        <v>85</v>
      </c>
      <c r="F7" s="1">
        <v>83</v>
      </c>
      <c r="G7" s="1">
        <v>100</v>
      </c>
      <c r="H7" s="1">
        <v>100</v>
      </c>
      <c r="I7" s="1">
        <v>80</v>
      </c>
      <c r="J7" s="1">
        <v>88</v>
      </c>
      <c r="K7" s="1">
        <v>89</v>
      </c>
      <c r="L7" s="1">
        <v>93</v>
      </c>
      <c r="M7" s="1">
        <v>94</v>
      </c>
      <c r="N7">
        <f t="shared" si="0"/>
        <v>89.21</v>
      </c>
      <c r="O7" s="1">
        <v>90</v>
      </c>
    </row>
    <row r="8" spans="1:15" x14ac:dyDescent="0.25">
      <c r="B8" t="s">
        <v>19</v>
      </c>
      <c r="C8">
        <v>970402</v>
      </c>
      <c r="D8" s="1">
        <v>90</v>
      </c>
      <c r="E8" s="1">
        <v>70</v>
      </c>
      <c r="F8" s="1">
        <v>80</v>
      </c>
      <c r="G8" s="1">
        <v>100</v>
      </c>
      <c r="H8" s="1">
        <v>100</v>
      </c>
      <c r="I8" s="1">
        <v>96</v>
      </c>
      <c r="J8" s="1">
        <v>90</v>
      </c>
      <c r="K8" s="1">
        <v>94</v>
      </c>
      <c r="L8" s="1">
        <v>95</v>
      </c>
      <c r="M8" s="1">
        <v>97</v>
      </c>
      <c r="N8">
        <f t="shared" si="0"/>
        <v>93.3</v>
      </c>
      <c r="O8" s="1">
        <v>95</v>
      </c>
    </row>
    <row r="9" spans="1:15" x14ac:dyDescent="0.25">
      <c r="B9" t="s">
        <v>20</v>
      </c>
      <c r="C9">
        <v>932266</v>
      </c>
      <c r="D9" s="1">
        <v>90</v>
      </c>
      <c r="E9" s="1">
        <v>70</v>
      </c>
      <c r="F9" s="1">
        <v>80</v>
      </c>
      <c r="G9" s="1">
        <v>100</v>
      </c>
      <c r="H9" s="1">
        <v>100</v>
      </c>
      <c r="I9" s="1">
        <v>96</v>
      </c>
      <c r="J9" s="1">
        <v>90</v>
      </c>
      <c r="K9" s="1">
        <v>94</v>
      </c>
      <c r="L9" s="1">
        <v>95</v>
      </c>
      <c r="M9" s="1">
        <v>97</v>
      </c>
      <c r="N9">
        <f t="shared" si="0"/>
        <v>93.3</v>
      </c>
      <c r="O9" s="1">
        <v>95</v>
      </c>
    </row>
    <row r="10" spans="1:15" x14ac:dyDescent="0.25">
      <c r="D10" s="1">
        <v>0.02</v>
      </c>
      <c r="E10" s="1">
        <v>0.02</v>
      </c>
      <c r="F10" s="1">
        <v>0.02</v>
      </c>
      <c r="G10" s="1">
        <v>0.02</v>
      </c>
      <c r="H10" s="1">
        <v>0.02</v>
      </c>
      <c r="I10" s="1">
        <v>0.15</v>
      </c>
      <c r="J10" s="1">
        <v>0.25</v>
      </c>
      <c r="K10" s="1">
        <v>0.2</v>
      </c>
      <c r="L10" s="1">
        <v>0.15</v>
      </c>
      <c r="M10" s="1">
        <v>0.15</v>
      </c>
      <c r="N10">
        <f>SUM(D10:M10)</f>
        <v>1</v>
      </c>
    </row>
  </sheetData>
  <sortState ref="A2:R44">
    <sortCondition ref="B2:B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2016-07-11T17:18:52Z</dcterms:modified>
</cp:coreProperties>
</file>